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Validation" sheetId="2" state="visible" r:id="rId4"/>
    <sheet name="Summary" sheetId="3" state="visible" r:id="rId5"/>
  </sheets>
  <definedNames>
    <definedName function="false" hidden="true" localSheetId="1" name="_xlnm._FilterDatabase" vbProcedure="false">Validation!$A$1:$Y$121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<sst xmlns="http://schemas.openxmlformats.org/spreadsheetml/2006/main" count="1958" uniqueCount="1023">
  <si>
    <t xml:space="preserve">Citation context validation set 4 (v3: analysis scope)</t>
  </si>
  <si>
    <t xml:space="preserve">120 rows from citation_context_v3, one per distinct window (seed 20261015). Rows in validation sets 1–3 are excluded. Regenerate with: python -m validation.make_citation_context_v4_sample</t>
  </si>
  <si>
    <t xml:space="preserve">What changed: every citation now has an analysis_scope. Only in_scope (LLM sentence is body text) and recovered rows are analysed. recovered = the LLM extracted footnote/reference text, and the body sentence carrying that footnote's marker was NOT captured by any other LLM citation in the comment. excluded_duplicate = same, but another LLM citation already covers that body sentence. Table, footnote, reference-list, heading and bare-link text is excluded.</t>
  </si>
  <si>
    <t xml:space="preserve">source_window: the matched LLM span is in « », the chosen core in ⟦ ⟧. 'v2 core_clean (before)' shows the previous version's core for comparison.</t>
  </si>
  <si>
    <t xml:space="preserve">Edit only the yellow columns on the 'Validation' tab. Excluded strata (excluded_reference / table / footnote / bare_link) need scope_correct only; their other label columns are prefilled NA.</t>
  </si>
  <si>
    <t xml:space="preserve">scope_correct — is analysis_scope right?  Y · N</t>
  </si>
  <si>
    <t xml:space="preserve">   recovered: ⟦core⟧ cites this source AND the LLM did not capture that sentence elsewhere</t>
  </si>
  <si>
    <t xml:space="preserve">   excluded_duplicate: the 'duplicate_of' LLM sentence is the same sentence as ⟦core⟧</t>
  </si>
  <si>
    <t xml:space="preserve">   excluded_*: the LLM sentence really is reference / table / footnote / bare-link text</t>
  </si>
  <si>
    <t xml:space="preserve">   in_scope_*: the LLM sentence really is body prose (not a reference entry)</t>
  </si>
  <si>
    <t xml:space="preserve">core_ok — is ⟦core⟧ the sentence that cites this source?  Y · N · NA</t>
  </si>
  <si>
    <t xml:space="preserve">core_complete — is core_clean exactly one whole sentence?  Y · Cut · Multi · Junk · NA</t>
  </si>
  <si>
    <t xml:space="preserve">prev_correct / next_correct — the true neighbouring sentence, or correctly empty at a heading / table / edge?  Y · N · NA</t>
  </si>
  <si>
    <t xml:space="preserve">Example of a labelled row (format only):</t>
  </si>
  <si>
    <t xml:space="preserve">   stratum=recovered · scope_correct=Y · core_ok=Y · core_complete=Y · prev_correct=Y · next_correct=N · notes=next runs into a page footer</t>
  </si>
  <si>
    <t xml:space="preserve">val_id</t>
  </si>
  <si>
    <t xml:space="preserve">stratum</t>
  </si>
  <si>
    <t xml:space="preserve">analysis_scope</t>
  </si>
  <si>
    <t xml:space="preserve">match_unit_type</t>
  </si>
  <si>
    <t xml:space="preserve">match_method</t>
  </si>
  <si>
    <t xml:space="preserve">match_score</t>
  </si>
  <si>
    <t xml:space="preserve">core_method</t>
  </si>
  <si>
    <t xml:space="preserve">citation_number</t>
  </si>
  <si>
    <t xml:space="preserve">citation_sentence (LLM)</t>
  </si>
  <si>
    <t xml:space="preserve">citation footnote / reference (which source this row is)</t>
  </si>
  <si>
    <t xml:space="preserve">prev_clean</t>
  </si>
  <si>
    <t xml:space="preserve">core_clean</t>
  </si>
  <si>
    <t xml:space="preserve">next_clean</t>
  </si>
  <si>
    <t xml:space="preserve">v2 core_clean (before)</t>
  </si>
  <si>
    <t xml:space="preserve">duplicate_of: LLM sentence already covering the core</t>
  </si>
  <si>
    <t xml:space="preserve">source_window (LLM span in « », core in ⟦ ⟧)</t>
  </si>
  <si>
    <t xml:space="preserve">scope_correct</t>
  </si>
  <si>
    <t xml:space="preserve">core_ok</t>
  </si>
  <si>
    <t xml:space="preserve">core_complete</t>
  </si>
  <si>
    <t xml:space="preserve">prev_correct</t>
  </si>
  <si>
    <t xml:space="preserve">next_correct</t>
  </si>
  <si>
    <t xml:space="preserve">notes</t>
  </si>
  <si>
    <t xml:space="preserve">citation_id</t>
  </si>
  <si>
    <t xml:space="preserve">comment_id</t>
  </si>
  <si>
    <t xml:space="preserve">source_path</t>
  </si>
  <si>
    <t xml:space="preserve">recovered</t>
  </si>
  <si>
    <t xml:space="preserve">footnote</t>
  </si>
  <si>
    <t xml:space="preserve">exact_nonbody</t>
  </si>
  <si>
    <t xml:space="preserve">footnote_number</t>
  </si>
  <si>
    <t xml:space="preserve">Similar industry lobbying around AI designations has hindered European AI regulations. See Henshall, supra note [15;] Perrigo, supra not[e 15.]</t>
  </si>
  <si>
    <t xml:space="preserve">(no footnote/reference text)</t>
  </si>
  <si>
    <t xml:space="preserve">Universally applicable AI risk management practices and independent AI designations would ensure that the agencies tasked with evaluating AI applications and mitigating AI risks do not cut corners by trying to circumvent the risk management process altogether.</t>
  </si>
  <si>
    <t xml:space="preserve">In addition, universally applicable AI risk management practices would ensure that AI vendors could not creatively market their products to avoid proper scrutiny.</t>
  </si>
  <si>
    <t xml:space="preserve">Several minimum practices already outlined within OMB's Draft Memorandum would be feasible as universally applicable AI risk management practices.</t>
  </si>
  <si>
    <t xml:space="preserve">…/news/ai-act-eu-commission-attempts-to-revive-tiered-approach-shifting-to-general-purpose-ai/)
#### *a. Recommendation One: Expand Minimum Practices and Oversight*
OMB should require agencies to incorporate certain minimum risk practices for *all* federal AI use cases—and implement an independent oversight process for determinations concerning safety-impacting and rights-impacting designations. Universally applicable AI risk management practices and independent AI designations would ensure that the agencies tasked with evaluating AI applications and mitigating AI risks do not cut corners by trying to circumvent the risk management process altogether. ⟦In addition, universally applicable AI risk management practices would ensure that AI vendors could not creatively market their products to avoid proper scrutiny.⟧[18](#page-5-0)
Several minimum practices already outlined within OMB's Draft Memorandum would be feasible as universally applicable AI risk management practices. For example, Section 5(b) of the Draft Memorandum already requires agencies to "review each use of AI that they are developing or using to determine whether it matches the definition of safety-impacting or rights-impacting." To make these impact determinations, an agency official will need to conduct some form of rudimentary AI impact assessment for all agency AI use cases. Rather than permit agencies to determine what procedures to follow when making these initial determinations, OMB could incorporate elements of its minimum practices at the determination stage to expand basic AI risk management to all AI use cases. For example, OMB could require an agency, when determining an AI system's designation as safety-impacting or rights-impacting, to report (1) its intended purpose and limitations, (2) the data used in the AI's design, development, training, testing, and operation, and (3) any human training or oversight measures undertaken.
OMB could seamlessly incorporate basic AI risk management practices into other reporting programs as well. Under Section 208 of the E-Government Act of 2002, for example, federal agencies are required to conduct, review, and publish PIAs before "developing or procuring information technology that collects, maintains, or disseminates information that is in an identifiable form" or before initiating a new collection of information. [19](#page-5-1) And while Section 208 dictates minimum requirements for PIAs, it grants OMB broad authority to determine the exact contents of PIAs. [20](#page-5-2) Many government AI systems rely on the collection, transfer, and use of identifiable information to produce outputs like risk scores, predictions, recommendations, and inferences, [21](#page-5-3) so when an agency uses AI to collect, process, store, or analyze identifiable
&lt;span id="page-5-0"&gt;&lt;/span&gt;&lt;sup&gt;18&lt;/sup&gt; «Similar industry lobbying around AI designations has hindered European AI regulations. *See* Henshall, *supra* note [15;](#page-3-2) Perrigo, *supra* not[e 15.](#page-3-2)»
&lt;span id="page-5-1"&gt;&lt;/span&gt;&lt;sup&gt;19&lt;/sup&gt; 44 U.S.C. 3501 note at 208(b)(1)(A); *see also* Memorandum from EPIC to the Exec. Off. of the President, the Vice President, and OMB on Integrating AI requirements into Section 208 Privacy Impact Assessments (Aug. 8, 2023),&lt;https://epic.org/wp-content/uploads/2023/10/EPIC-208-Memo.pdf&gt; [hereinafter "EPIC Section 208 AI Memo"].
&lt;sup&gt;20&lt;/sup&gt; 44 U.S.C. 350…</t>
  </si>
  <si>
    <t xml:space="preserve">52ee1622-3366-592d-b954-5d2af68a0bff</t>
  </si>
  <si>
    <t xml:space="preserve">OMB-2023-0020-0140</t>
  </si>
  <si>
    <t xml:space="preserve">OMB/2023-24269/comments/comment_attachments/OMB-2023-0020-0140_1.md</t>
  </si>
  <si>
    <t xml:space="preserve">In re Borst, 52 C.C.P.A. 1398, 1403 (1965) ("[T]he criterion should be whether the disclosure is sufficient to enable one skilled in the art to reduce the disclosed invention to practice. In other words, the disclosure must be such as will give possession of the invention to the person of ordinary skill. Even the act of publication or the fiction of constructive reduction to practice will not suffice if the disclosure does not meet this standard.").</t>
  </si>
  <si>
    <t xml:space="preserve">[reference] In re Borst, 52 C.C.P.A. 1398, 1403 (1965)</t>
  </si>
  <si>
    <t xml:space="preserve">Governing law should apply here: an AI-generated disclosure should be considered for "for all that it teaches" if it qualifies as prior art under § 102.</t>
  </si>
  <si>
    <t xml:space="preserve">Thus, it could form the basis of an obviousnessrejection even if its examples are inoperable, though this would preventthe disclosure from being anticipating.</t>
  </si>
  <si>
    <t xml:space="preserve">C4IP does not have firsthand knowledge about how AI-generated disclosures are being made public but believesthat the USPTO should ensure that examiners have access to the same sources of prior art that would be readily available to people working in that field.</t>
  </si>
  <si>
    <t xml:space="preserve">…y or completely AI-generated, and accordingly,trying to formulate a test based on this distinction may be unworkable.
**2. What types of AI-generated disclosures, if any, would be pertinent to patentability determinations made by theUSPTO? How are such disclosures currently being made available to the public? In what other ways, if any, should such disclosures be made available to the public?**
Governing law should apply here: an AI-generated disclosure should be considered for "for all that it teaches" if it qualifies as prior art under § 102.&lt;sup&gt;3&lt;/sup&gt; ⟦Thus, it could form the basis of an obviousnessrejection even if its examples are inoperable,&lt;sup&gt;4&lt;/sup&gt; though this would preventthe disclosure from being anticipating.&lt;sup&gt;5&lt;/sup&gt;⟧
&lt;sup&gt;[3]&lt;/sup&gt; Beckman Instruments, Inc. v. LKB Produkter AB, 892 F.2d 1547, 1551 (Fed. Cir. 1989).
&lt;sup&gt;[4]&lt;/sup&gt; Geo M. Martin Co. v. Alliance Mach. Sys. Int'l LLC, 618 F.3d 1294, 1302-1303 (Fed. Cir. 2010).
&lt;sup&gt;[5]&lt;/sup&gt; «In re Borst, 52 C.C.P.A. 1398, 1403 (1965) ("[T]he criterion should be whether the disclosure is sufficient to enable one skilled in the art to reduce the disclosed invention to practice. In other words, the disclosure must be such as will give possession of the invention to the person of ordinary skill. Even the act of publication or the fiction of constructive reduction to practice will not suffice if the disclosure does not meet this standard.").»
![](_page_22_Picture_0.jpeg)
C4IP does not have firsthand knowledge about how AI-generated disclosures are being made public but believesthat the USPTO should ensure that examiners have access to the same sources of prior art that would be readily available to people working in that field. These efforts are especially important for nonpatent literature before there is a largerstorehouse of AI-related patents.
**3. If a party submitsto theOffice a printed publication or other evidence that the party knows was AI-generated, should that party notify the USPTO of thisfact, and ifso, how? What duty, if any,should the party have to determine whether a disclosure was AI-generated?**
The…</t>
  </si>
  <si>
    <t xml:space="preserve">4c613b24-0237-5bde-b9c7-aa3fcd5965d9</t>
  </si>
  <si>
    <t xml:space="preserve">C4IP-RFI-2025</t>
  </si>
  <si>
    <t xml:space="preserve">NSF/2025-02305/comments/comment_attachments/C4IP-RFI-2025_1.md</t>
  </si>
  <si>
    <t xml:space="preserve">C4IP, Re: Docket No. PTO-P-2023-0043, Inventorship Guidance for AI-Assisted Inventions (May 13, 2024), https://c4ip.org/ wp-content/uploads/2024/05/C4IP-Public-Comment-RE-PTO-P-2023-0043.pdf; see also Andrei Iancu &amp; David Kappos, New Patent Guidance on AI Could Quash Innovation, Wall Street Journal (July 11, 2024), https:/[/www.wsj.com/articles/new-patent-guidance](http://www.wsj.com/articles/new-patent-guidance-)on-ai-could-quash-innovation-dd848ea4.</t>
  </si>
  <si>
    <t xml:space="preserve">[link] http://www.wsj.com/articles/new-patent-guidance-</t>
  </si>
  <si>
    <t xml:space="preserve">Asthe USPTO wrote previously, "the USPTO has been examining and issuing patents claiming AI inventions for years" using the same eligibility guidance that applies to all patent applications.No case law that we are aware of would dictate a differenttact.</t>
  </si>
  <si>
    <t xml:space="preserve">C4IP continues to believe that this is also the correct approach for questions of AI and inventorship, in contrast to the Office's current approach, which we do not believe isrequired by case law.</t>
  </si>
  <si>
    <t xml:space="preserve">Instead, AIshould be treated the same as any othertool that human inventors might use in developing an invention.</t>
  </si>
  <si>
    <t xml:space="preserve">…e,therefore, unfortunately, may serve to make obtaining patents on AI inventions unnecessarily difficult, with patents being issued according to the idiosyncrasies of how the guidance's gaps are filled in by individual examiners.
While C4IP has concerns with how the USPTO is discounting AI limitations, C4IP agrees with the Office's approach of treating AI the same asit would any other invention. Asthe USPTO wrote previously, "the USPTO has been examining and issuing patents claiming AI inventions for years"&lt;sup&gt;1&lt;/sup&gt; using the same eligibility guidance that applies to all patent applications.No case law that we are aware of would dictate a differenttact. ⟦C4IP continues to believe that this is also the correct approach for questions of AI and inventorship, in contrast to the Office's current approach, which we do not believe isrequired by case law.&lt;sup&gt;2&lt;/sup&gt;⟧ Instead, AIshould be treated the same as any othertool that human inventors might use in developing an invention. The Office's current approach unnecessarily elevates AI's current capabilities and threatensto make inventions developed using AI vulnerable to thisside- show question during patent examination and court proceedings.
*Legislative Reform of Patent Eligibility Is Needed.* Putting specific concerns about the July 2024 Guidance aside, there are largersystemic problems with our nation's approach to patent-eligible subject matter. For example, the Office's guidance is not binding on the courts, which have the ultimate say in how binding case law is applied to potentially invalidate AI patents when they are enforced.&lt;sup&gt;3&lt;/sup&gt; Having a legal system where there may be discrepancies between the flow-chart approach of the Office and the case law approach employed by the courts presents real harm to the innovation economy. Arguably, these discrepancies are forced on theOffice, which istrying to ensure consistency among 9,000 examiners (including many without a legal degree) in light of constantly evolving and unpredictable case law.&lt;sup&gt;4&lt;/sup&gt;Nonetheless,the currentsetup gives a false sense of certainty to
patent recipients, particularly those lacking accessto legal expertise that can advise them on how likely a court is to enforce a *granted* patent.
&lt;sup&gt;[1]&lt;/sup&gt; USPTO, *Public Views on Artificial Intelligence and Intellectual Property Policy* 8 (Oct. 2020), https:[//www.uspto.gov/sites/](http://www.uspto.gov/sites/) default/files/documents/USPTO\_AI-Report\_2020-10-07.pdf.
&lt;sup&gt;[2]&lt;/sup&gt; «C4IP, *Re: Docket No. PTO-P-2023-0043, Inventorship Guidance for AI-Assisted Inventions* (May 13, 2024), https://c4ip.org/ wp-content/uploads/2024/05/C4IP-Public-Comment-RE-PTO-P-2023-0043.pdf; *see also* Andrei Iancu &amp; David Kappos, *New Patent Guidance on AI Could Quash Innovation*, Wall Street Journal (July 11, 2024), https:/[/www.wsj.com/articles/new-patent-guidance](http://www.wsj.com/articles/new-patent-guidance-)on-ai-could-quash-innovation-dd848ea4.»
&lt;sup&gt;[3]&lt;/sup&gt; In re Rudy, 956 F.3d 1379, 1383 (Fed. Cir. 2020) ("We are not . . . bound by the Office Guidance, which cannot modify or supplant the Supreme Court's law regarding patent eligibility, or our interpretation and application thereof."),
&lt;sup&gt;[4]&lt;/sup&gt; *See id*. (Fed. Cir. 2020) ("To the extent the Office Guidance contradicts or does not fully accord with our caselaw, it is our casel…</t>
  </si>
  <si>
    <t xml:space="preserve">98df5171-e412-5652-ba9f-d539532d3d41</t>
  </si>
  <si>
    <t xml:space="preserve">See, e.g., Meet 3 women who test Google products for fairness.</t>
  </si>
  <si>
    <t xml:space="preserve">In this context, vulnerability reporting programs can be tailored to catalog potentially harmful use cases or toward detecting bias or other discrepancies in models or applications.</t>
  </si>
  <si>
    <t xml:space="preserve">We also conduct internal "red team" testing, where our Responsible Innovation team conducts proactive algorithmic product fairness testing with an eye toward avoiding reinforcing unfair bias and our Trust &amp; Safety team evaluates and tries to mitigate potential content safety issues. 45</t>
  </si>
  <si>
    <t xml:space="preserve">…another effective, and increasingly common, cross-industry accountability practice. For example, in 2022, Google awarded over \$12 million in bounty rewards to contributors who identified vulnerabilities—making our products even safer for users. 42 More and more, organizations across government 43 and the private sector 44 are looking to extend cyber-related bounty programming to Al applications. In this context, vulnerability reporting programs can be tailored to catalog potentially harmful use cases or toward detecting bias or other discrepancies in models or applications. ⟦We also conduct internal "red team" testing, where our Responsible Innovation team conducts proactive algorithmic product fairness testing with an eye toward avoiding reinforcing unfair bias and our Trust &amp; Safety team evaluates and tries to mitigate potential content safety issues. 45⟧
## 12. What aspects of the United States and global financial assurance systems provide useful and achievable models for Al accountability?
Financial assurance systems could be a helpful reference point for future accountability mechanisms around frontier models. However, financial assurance systems have evolved over time based on mature service models; any new accountability mechanisms around Al should be designed in a way that recognizes the rapidly evolving nature of the technology and enables ongoing innovation.
&lt;sup&gt;&amp;&lt;/sup&gt;lt;sup&gt;40&lt;/sup&gt; See generally ISE Audit - Compliance | Google Cloud.
&lt;sup&gt;&amp;&lt;/sup&gt;lt;sup&gt;41&lt;/sup&gt; How your data is used | Genomics England.
&lt;sup&gt;&amp;&lt;/sup&gt;lt;sup&gt;42&lt;/sup&gt; Google Online Security Blog: Vulnerability Reward Program: 2022 Year in Review.
&lt;sup&gt;&amp;&lt;/sup&gt;lt;sup&gt;43&lt;/sup&gt; Vulnerability Disclosure Program (VDP), Department of Defense Cyber Crime Center (DC3),
&lt;sup&gt;&amp;&lt;/sup&gt;lt;sup&gt;44&lt;/sup&gt; See, e.g., Reporting Twitter security vulnerabilities and bugs; Meta Bug Bounty Program.
&lt;sup&gt;&amp;&lt;/sup&gt;lt;sup&gt;45&lt;/sup&gt; «See, e.g., Meet 3 women who test Google products for fairness.»
To facilitate the implementation and adherence to evaluations and best practices, frontier labs may benefit from an internal risk and auditing function. &lt;sup&gt;46&lt;/sup&gt; This could improve risk management practices, decrease information asymmetries between different parts of the organization, and ensure adequate risk mitigation for uncertain, complex, interconnected, and volatile systems. Internal …</t>
  </si>
  <si>
    <t xml:space="preserve">a8441b04-5641-5bc0-862b-6d7d57eec7c0</t>
  </si>
  <si>
    <t xml:space="preserve">NTIA-2023-0005-1308</t>
  </si>
  <si>
    <t xml:space="preserve">NTIA/2023-07776/comments/comment_attachments/NTIA-2023-0005-1308_1.md</t>
  </si>
  <si>
    <t xml:space="preserve">Tailored guidance for each combination of model capability and release type can be generated using the Custom [Guidance](https://partnershiponai.org/modeldeployment/#generate_custom_guidance) tool.</t>
  </si>
  <si>
    <t xml:space="preserve">[link] https://partnershiponai.org/modeldeployment/#generate_custom_guidance</t>
  </si>
  <si>
    <t xml:space="preserve">The table below sets out the combination of model capability and release type.</t>
  </si>
  <si>
    <t xml:space="preserve">PAI's Model Deployment Guidance provides tailored safety guidance for each of these combinations. 1</t>
  </si>
  <si>
    <t xml:space="preserve">… high consequence domains.
  - Encompasses general purpose models capable across diverse contexts, like chatbots/LLMs and multimodal models.
- **● Paradigm-shifting or Frontier:** Cutting edge general purpose models that significantly advance capabilities across modalities compared to the current state of the art.
# &lt;span id="page-7-0"&gt;&lt;/span&gt;**Build specificity into NIST's companion resource**
The table below sets out the combination of model capability and release type. ⟦PAI's Model Deployment Guidance provides tailored safety guidance for each of these combinations. 1⟧
| Narrow&lt;br&gt;Purpose&lt;br&gt;/&lt;br&gt;Specialized&lt;br&gt;Model&lt;br&gt;Releases:                                                                                                                              | Advanced&lt;br&gt;Narrow&lt;br&gt;/&lt;br&gt;Gen&lt;br&gt;Purpose&lt;br&gt;Releases:                                                                                                                       | Paradigm-Shifting&lt;br&gt;or&lt;br&gt;Frontier&lt;br&gt;Model&lt;br&gt;Releases:                                                                                                                    |  |
|------------------------------------------------------------------------------------------------------------------------------------------------------------------------------------------|------------------------------------------------------------------------------------------------------------------------------------------------------------------------------|------------------------------------------------------------------------------------------------------------------------------------------------------------------------------|--|
| ●&lt;br&gt;1A&lt;br&gt;-&lt;br&gt;Specialized&lt;br&gt;&amp;&lt;br&gt;Open&lt;br&gt;●&lt;br&gt;1B&lt;br&gt;-&lt;br&gt;Specialized&lt;br&gt;&amp;&lt;br&gt;Restricted&lt;br&gt;●&lt;br&gt;1C&lt;br&gt;-&lt;br&gt;Specialized&lt;br&gt;&amp;&lt;br&gt;Closed&lt;br&gt;●&lt;br&gt;1D&lt;br&gt;-&lt;br&gt;Specialized&lt;br&gt;&amp;&lt;br&gt;Research | ●&lt;br&gt;2A&lt;br&gt;-&lt;br&gt;Advanced&lt;br&gt;&amp;&lt;br&gt;Open&lt;br&gt;●&lt;br&gt;2B&lt;br&gt;-&lt;br&gt;Advanced&lt;br&gt;&amp;&lt;br&gt;Restricted&lt;br&gt;●&lt;br&gt;2C&lt;br&gt;-&lt;br&gt;Advanced&lt;br&gt;&amp;&lt;br&gt;Closed&lt;br&gt;●&lt;br&gt;2D&lt;br&gt;-&lt;br&gt;Advanced&lt;br&gt;&amp;&lt;br&gt;Research | ●&lt;br&gt;3A&lt;br&gt;-&lt;br&gt;Frontier&lt;br&gt;&amp;&lt;br&gt;Open&lt;br&gt;●&lt;br&gt;3B&lt;br&gt;-&lt;br&gt;Frontier&lt;br&gt;&amp;&lt;br&gt;Restricted&lt;br&gt;●&lt;br&gt;3C&lt;br&gt;-&lt;br&gt;Frontier&lt;br&gt;&amp;&lt;br&gt;Closed&lt;br&gt;●&lt;br&gt;3D&lt;br&gt;-&lt;br&gt;Frontier&lt;br&gt;&amp;&lt;br&gt;Research |  |
| Guidance&lt;br&gt;for&lt;br&gt;Significant&lt;br&gt;Updates                                                                                                                                                |                                                                                                                                                                              |                                                                                                                                                                              |  |
NIST's companion resource for generative AI should contain guidance for foundation model providers that is appropriate to capabilities and release types.
&lt;sup&gt;1&lt;/sup&gt; «Tailored guidance for each combination of model capability and release type can be generated using the Custom [Guidance](https://partnershiponai.org/modeldeployment/#generate_custom_guidance) tool.»
## **The companion resource should be responsive to an AI risk landscape**
Any framework for effectively managing risk for generative AI / foundation models, must identify and address relevant risks (this includes known, speculative, application and model risks). PAI's Model Deployment Guidance maps the categories of in-scope risks, capturing both the nature of those risks and the ways they can…</t>
  </si>
  <si>
    <t xml:space="preserve">07f35a4d-10af-57e7-9a8f-e373200cef32</t>
  </si>
  <si>
    <t xml:space="preserve">NIST-2023-0009-0155</t>
  </si>
  <si>
    <t xml:space="preserve">NIST/2023-28232/comments/comment_attachments/NIST-2023-0009-0155_1.md</t>
  </si>
  <si>
    <t xml:space="preserve">The RFC mirrors the AI Executive Order in considering risk mitigation for dual-use foundation models; it gives a definition of those models, including an interim definition for model reporting that is based on compute. There is some discussion in the [literature](https://arxiv.org/pdf/2307.03718.pdf) (see also [here](https://crfm.stanford.edu/2023/11/18/tiers.html)) about how well this definition tracks frontier model capabilities.</t>
  </si>
  <si>
    <t xml:space="preserve">[footnote] The RFC mirrors the AI Executive Order in considering risk mitigation for dual-use foundation models; it gives a definition of those models, including an interim definition for model reporting that is based on compute. There is some discussion in the [literature](https://arxiv.org/pdf/2307.03718.pdf) (see also [here](https://crfm.stanford.edu/2023/11/18/tiers.html)) about how well this definition 
[link] https://crfm.stanford.edu/2023/11/18/tiers.html</t>
  </si>
  <si>
    <t xml:space="preserve">(The Guidance uses the term "open access" to refer to model releases involving the release of at least model weights.) 9</t>
  </si>
  <si>
    <t xml:space="preserve">● The Model Deployment Guidance can generate guidance for foundation models of all capabilities, including "dual-use foundation models". 10</t>
  </si>
  <si>
    <t xml:space="preserve">The Model Deployment Guidance states the following:</t>
  </si>
  <si>
    <t xml:space="preserve">…e categories. This approach reduces the compliance burden on providers of less risky models, while ensuring that riskier models are subjected to more stringent safety practices. The approach in the Guidance reflects the fact that model release type is one of a number of relevant factors in assessing what risk management measures should be implemented by model providers to
ensure safe deployment. (The Guidance uses the term "open access" to refer to model releases involving the release of at least model weights.) 9
⟦● **The Model Deployment Guidance can generate guidance for foundation models of all capabilities**, including "dual-use foundation models". 10⟧
The Model Deployment Guidance states the following:
- Risk management practices are necessary **for all foundation models.**
- The risks posed by foundation models vary, **depending on model capability and release type** (including open access release).
- Risk management measures for foundation models should be flexible, so **they are appropriate and adapted to the risks posed by those models**.
Recommendations developed by NTIA should reflect these principles.
As explained in the supporting materials for the Model Deployment Guidance, the Guidance was not developed to replace regulation or other policy frameworks. Rather, the Guidance aims to complement other governance and regulatory approaches. In the absence of policy frameworks, voluntary mechanisms like the Guidance play a valuable role in providing recommendations for risk management practices that can be adopted right now by a wide range of model providers. This helps ensure that benefits from these models, including open foundation models, are harnessed while risks are managed. Voluntary frameworks play a particularly important role in setting a benchmark for safe practice while work continues to better understand the risks associated with various types of model release.
**We urge NTIA to encourage the adoption of voluntary risk management frameworks such as PAI's Model Deployment Guidance by providers of both open and closed foundation models**. NTIA should consider the role these frameworks play in addressing risk right now and providing an initial benchmark for other potential policy or regulatory responses in fulfilling its mandate under the AI Executive Order.
&lt;sup&gt;9&lt;/sup&gt; While noting that the definition of "widely available model weights" is one factor NTIA is considering under the AI Executive Order, there is likely to be significant overlap between the category of models with "widely available model weights" and that of models subject to "open access release".
&lt;sup&gt;10&lt;/sup&gt; «The RFC mirrors the AI Executive Order in considering risk mitigation for dual-use foundation models; it gives a definition of those models, including an interim definition for model reporting that is based on compute. There is some discussion in the [literature](https://arxiv.org/pdf/2307.03718.pdf) (see also [here](https://crfm.stanford.edu/2023/11/18/tiers.html)) about how well this definition tracks frontier model capabilities.» PAI's Model Deployment Guidance does not specifically address "dual-use foundation models" as a separate category; however because the Guidance generates customized recommendations for models of all capabilities, it can generate guidance for dual-use models.
## **Conclusion**
PAI would be happy to provide further information about any of the matters discussed in this submission. We look forward…</t>
  </si>
  <si>
    <t xml:space="preserve">12911ead-dbde-5491-a543-b2acfe7f8fc6</t>
  </si>
  <si>
    <t xml:space="preserve">NTIA-2023-0009-0254</t>
  </si>
  <si>
    <t xml:space="preserve">NTIA/2024-03763/comments/comment_attachments/NTIA-2023-0009-0254_1.md</t>
  </si>
  <si>
    <t xml:space="preserve">fuzzy</t>
  </si>
  <si>
    <t xml:space="preserve">56 Bowman Cooper, Like Looking for a Needle in an AI-Stack, Center for Democracy &amp; Technology (Jul. 21, 2023), &lt;https://cdt.org/insights/like-looking-for-a-needle-in-an-ai-stack/&gt;.</t>
  </si>
  <si>
    <t xml:space="preserve">[footnote] Bowman Cooper, Like Looking for a Needle in an AI-Stack, Center for Democracy &amp; Technology (Jul. 21, 2023), &lt;https://cdt.org/insights/like-looking-for-a-needle-in-an-ai-stack/&gt;.
[link] https://cdt.org/insights/like-looking-for-a-needle-in-an-ai-stack/</t>
  </si>
  <si>
    <t xml:space="preserve">Many agencies failed to publish inventories despite a previous Executive Order mandate: a review by Stanford Law scholars of 220 agencies found that 3 out of every 4 agencies potentially required to publish an AI use case inventories did not.</t>
  </si>
  <si>
    <t xml:space="preserve">Moreover, agencies that did publish inventories often left them incomplete: a review by CDT in summer 2023 showed that agencies' entries ranged considerably from one-line descriptions to full paragraphs, with case summaries often using vague and inaccessible language that fails to convey the purpose of a tool, or whom the tool may affect.</t>
  </si>
  <si>
    <t xml:space="preserve">Entries typically lack dates, making it difficult to know when updates happened.</t>
  </si>
  <si>
    <t xml:space="preserve">…responsible AI governance. However, the Memo must be strengthened to achieve effective transparency, and to ensure that agencies interpret the guidance consistently in a manner that makes their disclosures useful to government actors and the public.
Currently, AI inventories are falling short of expectations, with agencies missing the mark on compliance, quality, completeness, and accessibility. Many agencies failed to publish inventories despite a previous Executive Order mandate: a review by Stanford Law scholars of 220 agencies found that 3 out of every 4 agencies potentially required to publish an AI use case inventories did not.&lt;sup&gt;55&lt;/sup&gt; ⟦Moreover, agencies that did publish inventories often left them incomplete: a review by CDT in summer 2023&lt;sup&gt;56&lt;/sup&gt; showed that agencies' entries ranged considerably from one-line descriptions to full paragraphs, with case summaries often using vague and inaccessible language that fails to convey the purpose of a tool, or whom the tool may affect.⟧ Entries typically lack dates, making it difficult to know when updates happened. Delays in reporting abound.&lt;sup&gt;57&lt;/sup&gt; Agencies varied widely in where they host the inventory online and in which format, despite attempts by The Chief Information Officers Council (CIO Council) to standardize this process.&lt;sup&gt;58&lt;/sup&gt;
OMB must take warning from this flawed start and issue clear, specific directives to make the AI inventories into the effective transparency tool the Executive Order and draft Memo envision.
&lt;sup&gt;55&lt;/sup&gt; Christie Lawrence et al., *The Bureaucratic Challenge to AI Governance: An Empirical Assessment of Implementation at U.S. Federal Agencies*, in Proceedings of the 2023 AAAI/ACM Conference on AI, Ethics, and Society 606 (2023), [https://dl.acm.org/doi/pdf/10.1145/3600211.3604701.](https://dl.acm.org/doi/pdf/10.1145/3600211.3604701) Among 49 agencies with publicly known AI uses—including AI uses core to the agency's mission—nearly 50% did not publish an AI inventory. Notably, agencies with missions that significantly bear on equity concerns, like the Department of Housing and Urban Development, Small Business Administration, and U.S. Postal Service, have failed to publish known AI uses.
&lt;sup&gt;56&lt;/sup&gt; «Bowman Cooper, *Like Looking for a Needle in an AI-Stack, Center for Democracy &amp; Technology* (Jul. 21, 2023), &lt;https://cdt.org/insights/like-looking-for-a-needle-in-an-ai-stack/&gt;.»
&lt;sup&gt;57&lt;/sup&gt; Lawrence et al., *supra* note 55 (*see,* Appendix D.)
&lt;sup&gt;58&lt;/sup&gt; Federal Chief Information Officers Council, *Guidance for Creating Agency Inventories of AI Use Cases Per EO 13980* (2023), [https://www.cio.gov/assets/resources/2023-Guidance-for-AI-Use-Case-Inventories.pdf.](https://www.cio.gov/assets/resources/2023-Guidance-for-AI-Use-Case-Inventories.pdf)
### Specifically OMB…</t>
  </si>
  <si>
    <t xml:space="preserve">0e8b742e-8981-5083-b46e-6fef774649f5</t>
  </si>
  <si>
    <t xml:space="preserve">OMB-2023-0020-0130</t>
  </si>
  <si>
    <t xml:space="preserve">OMB/2023-24269/comments/comment_attachments/OMB-2023-0020-0130_1.md</t>
  </si>
  <si>
    <t xml:space="preserve">See, e.g., Cameron F. Kerry, Biden State of the Union 2023: Time to restart the privacy debate, Brookings Institution (Feb. 2, 2023).</t>
  </si>
  <si>
    <t xml:space="preserve">[link] https://www.brookings.edu/blog/fixgov/2023/02/02/biden-state-of-the-union-2023-time-to-restart-the-privacy-debate/</t>
  </si>
  <si>
    <t xml:space="preserve">Google has long advocated for such a law, and there is bipartisan and public support for doing so.</t>
  </si>
  <si>
    <t xml:space="preserve">The Biden Administration has likewise emphasized the issue. 63</t>
  </si>
  <si>
    <t xml:space="preserve">… worst-case scenario, where patchwork data regulation creates conflicting obligations or prohibits the otherwise lawful and beneficial use of data, AI systems may be less accurate or less useful for consumers. A non-sectoral, federal privacy law could preempt patchwork state laws and create a uniform framework that provides consumers with clearer rights and privacy protections across the country. Google has long advocated for such a law, and there is bipartisan and public support for doing so. &lt;sup&gt;62&lt;/sup&gt; ⟦The Biden Administration has likewise emphasized the issue. 63⟧
## **26. Is the lack of a federal law focused on AI systems a barrier to effective AI accountability?**
Existing, sectoral-based frameworks remain a prime starting point for considering how to effectively promote accountability in AI systems. These approaches build on regulatory expertise in distinct subject areas that can be adapted to address AI in specific contexts under a hub-and-spoke model. In the Response to Question 30 below, we detail several steps policymakers can take to encourage the implementation of effective AI accountability tools.
**27. What is the role of intellectual property rights, terms of service, contractual obligations, or other legal entitlements in fostering or impeding a robust AI accountability ecosystem? For example, do nondisclosure agreements or trade secret protections impede the assessment or audit of AI systems and processes? If so, what legal or policy developments are needed to ensure an effective accountability framework?**
Certain types of AI accountability mechanisms may conflict with existing legal obligations. For example, imposing mandatory disclosure requirements for datasets used to train an AI model will rarely be practicable and could risk exposing trade secrets. It may also violate contractual obligations to not retain data supplied by business clients. Providing third-party access to data could also undermine privacy, such as by requiring a central log of data to be stored or preventing data from being deleted. More fundamentally, organizations that have built products using open-source models have no reliable way to know the provenance of the data used to train the models unless the publisher of that model has chosen to release it.
On the other hand, having clear copyright flexibilities, like fair use, is essential for data training and the development of responsible AI in the context of large language models. Training a large language model is a deeply transformative exercise that uses a vast range of data for machine
&lt;sup&gt;62&lt;/sup&gt; The urgent necessity of enacting a national privacy law – Google Keyword Blog (Apr. 25, 2022).
&lt;sup&gt;63&lt;/sup&gt; «*See, e.g.*, [Cameron](https://www.brookings.edu/blog/fixgov/2023/02/02/biden-state-of-the-union-2023-time-to-restart-the-privacy-debate/) F. Kerry, *Biden State of the Union 2023: Time to restart the privacy debate*, Brookings [Institution](https://www.brookings.edu/blog/fixgov/2023/02/02/biden-state-of-the-union-2023-time-to-restart-the-privacy-debate/) (Feb. 2, 2023).»
learning. Further, training on a broad and diverse range of data is important in the responsible development of AI. For example, training only on older data (such as out-of-copyright books from more than 100 years ago) could result in model outputs being skewed based on biased or inaccurate assumptions. 64
**28. What do AI audits and assessments cost? Which entities should be expected to bear t…</t>
  </si>
  <si>
    <t xml:space="preserve">d1741e01-3f48-54c0-bb30-5d55c75b37f4</t>
  </si>
  <si>
    <t xml:space="preserve">8 Office of Science and Technology Policy, Blueprint for an AI Bill of Rights: Examples of Automated Systems (2022), &lt;https://www.whitehouse.gov/ostp/ai-bill-of-rights/examples-of-automated-systems/&gt;[.]</t>
  </si>
  <si>
    <t xml:space="preserve">[footnote] Office of Science and Technology Policy, Blueprint for an AI Bill of Rights: Examples of Automated Systems (2022), &lt;https://www.whitehouse.gov/ostp/ai-bill-of-rights/examples-of-automated-systems/&gt;[.]
[link] https://www.whitehouse.gov/ostp/ai-bill-of-rights/examples-of-automated-systems/</t>
  </si>
  <si>
    <t xml:space="preserve">Underscore that the list of presumed safety- and rights- impacting uses is not exhaustive in any guidance, training, or other interactions, , and that agencies must conduct their own assessments to ensure that uses are appropriately designated.</t>
  </si>
  <si>
    <t xml:space="preserve">Include specific examples of the presumed use cases to help agencies understand them and recognize uses raising similar concerns (this could leverage the list of examples documented in the Administration's Blueprint for an AI Bill of Rights).</t>
  </si>
  <si>
    <t xml:space="preserve">Provide examples of how data that implicates protected characteristics – like disability or race – can be processed in ways that create rights-impacting concerns, even when that data is not ultimately used in a decision-making context.</t>
  </si>
  <si>
    <t xml:space="preserve">…up&gt;7&lt;/sup&gt;
However, OMB should take further steps to ensure that agencies are consistently and appropriately interpreting the Memo. Specifically, OMB should:
- **Revisit and update the list of presumed use cases regularly**, with an opportunity for relevant experts and the public to recommend changes and provide comments (see further response on the process for soliciting public input in Q6).
- **Underscore that the list of presumed safety- and rights- impacting uses is not exhaustive** in any guidance, training, or other interactions, , and that agencies must conduct their own assessments to ensure that uses are appropriately designated.
- ⟦**Include specific examples of the presumed use cases** to help agencies understand them and recognize uses raising similar concerns (this could leverage the list of examples documented in the Administration's Blueprint for an AI Bill of Rights).&lt;sup&gt;8&lt;/sup&gt;⟧
- **Provide examples of how data that implicates protected characteristics – like disability or race – can be processed in ways that create rights-impacting concerns**, even when that data is not ultimately used in a decision-making context. Such examples would clarify to agencies how AI systems that seem to function in a facially neutral way may in fact harm particular marginalized communities, and would affirm that agencies are obligated to scrutinize such AI uses for unanticipated harms.&lt;sup&gt;9&lt;/sup&gt;
- **Require that agencies identify in their AI inventories whether or not a use case has been deemed safety- or rights-impacting in its AI inventory, with a justification, by making this a mandatory field in the AI inventory**. This requirement would build off existing reporting by agencies, which already must report on outcomes of stakeholder
[https://cdt.org/insights/report-challenging-the-use-of-algorithm-driven-decision-making-in-benefits-determination](https://cdt.org/insights/report-challenging-the-use-of-algorithm-driven-decision-making-in-benefits-determinations-affecting-people-with-disabilities/) [s-affecting-people-with-disabilities/](https://cdt.org/insights/report-challenging-the-use-of-algorithm-driven-decision-making-in-benefits-determinations-affecting-people-with-disabilities/); Hannah Quay-de la Vallee, Center for Democracy &amp; [Technology,](https://www.zotero.org/google-docs/?broken=dF9PGz) *[Public](https://www.zotero.org/google-docs/?broken=AQIbIk) Agencies' Use of Biometrics to Prevent Fraud and Abuse: Risks and [Alternatives](https://www.zotero.org/google-docs/?broken=AQIbIk)* (2022),
&lt;https://cdt.org/insights/public-agencies-use-of-biometrics-to-prevent-fraud-and-abuse-risks-and-alternatives/&gt;[.](https://www.zotero.org/google-docs/?broken=AQIbIk)
&lt;sup&gt;7&lt;/sup&gt; *See* Data &amp; Society's regulatory submission in response to this RFC for further detail. *See also, e.g.,* Elizabeth Laird and Maddy Dwyer, Center for Democracy &amp; [Technology,](https://www.zotero.org/google-docs/?broken=dF9PGz) *Off Task: EdTech Threats to Student Privacy and Equity in the Age of AI* [\(2023\),](https://www.zotero.org/google-docs/?broken=dF9PGz)
&lt;https://cdt.org/insights/report-off-task-edtech-threats-to-student-privacy-and-equity-in-the-age-of-ai/&gt;; Michael Yang, Center for Democracy &amp; [Technology,](https://www.zotero.org/google-docs/?broken=dF9PGz) *The Promise and Peril of Data &amp; [Technology](https://www.zotero.org/google-docs/?broken=4Uu3jR) Use By Public Housing [Agencies](https://www.zotero.org/google-docs/?broken=4Uu3jR)* (2023),
[https://cdt.org/wp-content/uploads/2023/03/2023-03-17-Civic-Tech-Technology-in-Public-Housing-Agencies-final.](https://cdt.org/wp-content/uploads/2023/03/2023-03-17-Civic-Tech-Technology-in-Public-Housing-Agencies-final.pdf) [pdf;](https://cdt.org/wp-content/uploads/2023/03/2023-03-17-Civic-Tech-Technology-in-Public-Housing-Agencies-final.pdf) Lydia X.Z. Brown et al[.,](https://www.zotero.org/google-docs/?broken=duJ8va) Center for Democracy &amp; [Technology,](https://www.zotero.org/google-docs/?broken=dF9PGz) *Challenging the Use of [Algorithm-Driven](https://www.zotero.org/google-docs/?broken=duJ8va) [Decision-Making](https://www.zotero.org/google-docs/?broken=duJ8va) in Benefits Determinations Affecting People with Disabilities* (2020),
&lt;sup&gt;8&lt;/sup&gt; «Office of Science and Technology Policy, *Blueprint for an AI Bill of Rights: Examples of [Automated](https://www.zotero.org/google-docs/?broken=FJoZDT) Systems* (2022), &lt;https://www.whitehouse.gov/ostp/ai-bill-of-rights/examples-of-automated-systems/&gt;[.](https://www.zotero.org/google-docs/?broken=FJoZDT)»
&lt;sup&gt;9&lt;/sup&gt; For example, the guidance lists "detecting or measuring emotions, thought, or deception in humans." An AI system might perform such functions to help detect and prevent suspicious behavior based on speech, eye contact, bodily movements, and similar data points. Because of how the system might be designed and how its outputs might be used, it could adversely affect people with disabi…</t>
  </si>
  <si>
    <t xml:space="preserve">4ba9b646-c1e9-51e1-a28b-041d91e646c2</t>
  </si>
  <si>
    <t xml:space="preserve">See In re Sneed, 710 F.2d 1544, 1548 (Fed. Cir. 1983) ("[C]laims in an application are to be given their broadest reasonable interpretation consistent with the specification, and that claim language should be read in light of the specification as it would be interpreted by one of ordinary skill in the art.") (internal citation omitted).</t>
  </si>
  <si>
    <t xml:space="preserve">[reference] In re Sneed, 710 F.2d 1544, 1548 (Fed. Cir. 1983)</t>
  </si>
  <si>
    <t xml:space="preserve">The caution urged by current case law on when an examiner may properly rely on wellknown knowledge in the art as part of a rejection, without citation to any source, should apply here.</t>
  </si>
  <si>
    <t xml:space="preserve">AI may also have an impact on how a PHOSITA understands a claim term.</t>
  </si>
  <si>
    <t xml:space="preserve">AI might accordingly be informative to the examiner when construing claims, but caution should be used if and when referring to these sources.</t>
  </si>
  <si>
    <t xml:space="preserve">…nnovations, including in AI."), https:[//www.uspto.gov/blog/latest-updates-on-artificial-intelligence.](http://www.uspto.gov/blog/latest-updates-on-artificial-intelligence)
![](_page_26_Picture_0.jpeg)
AImay expand the common base of knowledge available to a PHOSITA, butthisimpact will be best assessed on a case-by-case basis with examiners using already-established methods to define a PHOSITA. The caution urged by current case law on when an examiner may properly rely on wellknown knowledge in the art as part of a rejection, without citation to any source, should apply here.&lt;sup&gt;14&lt;/sup&gt;
⟦AI may also have an impact on how a PHOSITA understands a claim term.&lt;sup&gt;15&lt;/sup&gt;⟧ AI might accordingly be informative to the examiner when construing claims, but caution should be used if and when referring to these sources. For example, a dictionary that is published after the filing date of a patent application would not automatically be a relevantsource of information about a term'slikely meaning, and neither should a publicly available source of generative AI, whose output may be informed by materials created after the filing date of the application being examined.
- **9. In view of the availability to a PHOSITA of AI as a tool, how, if at all, is an obviousness determination affected, including when:**
  - **a. Determining whether artis analogousto the claimed invention, given AI's ability to search across art fields? Does the "analogous" art standard still make sense in view of AI's capabilities?**
  - **b. Determining whetherthere is a rationale to modify the prior art, including the example rationales suggested by KSR (MPEP 2143, subsection I) (e.g., "obvious to try") or the scientific principle or legal precedent rationales (MPEP 2144)?**
  - **c. Determining whether the modification yields predictable results with a reasonable expectation ofsuccess(e.g., how to evaluate the predictability of results in view of the stochasticity (or lack of predictability) of an AI system)?**
  - **d. Evaluating objective indicia of obviousness or nonobviousness (e.g., commercial success, long felt but unsolved needs, failure of others, simultaneous invention, unexpected results, copying, etc.)?**
&lt;sup&gt;[14]&lt;/sup&gt; *See* K/S HIMPP v. Hear-Wear Techs., LLC, 751 F.3d 1362, 1366 (Fed. Cir. 2014) ("Although a patent examiner may rely on common knowledge to support a rejection, that is appropriate only in narrow circumstances.").
&lt;sup&gt;[15]&lt;/sup&gt; «*See* In re Sneed, 710 F.2d 1544, 1548 (Fed. Cir. 1983) ("[C]laims in an application are to be given their broadest reasonable interpretation consistent with the specification, and that claim language should be read in light of the specification as it would be interpreted by one of ordinary skill in the art.") (internal citation omitted).»
![](_page_27_Picture_0.jpeg)
AI, as a tool, is likely to have some degree of impact on each of the legal doctrines set forth in this question, but exactly how it will do so will be fact-specific and should be determined on a case-by-case basis, asit isfor all othertools and technologiesthat are also changing all the time.
As AI may be expected to increase the number of suggestions in the prior…</t>
  </si>
  <si>
    <t xml:space="preserve">af785823-f40f-56f7-9d22-5aebbbde332b</t>
  </si>
  <si>
    <t xml:space="preserve">These statements may be particularly relevant for companies that provide business customers the ability to access a GPAI model but do not change the model itself.4</t>
  </si>
  <si>
    <t xml:space="preserve">Estimated cadence of changes</t>
  </si>
  <si>
    <t xml:space="preserve">» Statement of no relevant changes by the downstream provider.4</t>
  </si>
  <si>
    <t xml:space="preserve">These may include:</t>
  </si>
  <si>
    <t xml:space="preserve">…odel, if applicable
    - Changes that customize the GPAI model without altering model weights (i.e., retrieval augmented generation (RAG), prompt optimization, use of supporting models)
    - Changes to privacy or security controls of GPAI model
    - Information about changes to performance or known limitations if the downstream provider has put the model to use after the relevant changes
    - Estimated cadence of changes
  - ⟦» Statement of no relevant changes by the downstream provider.4⟧ These may include:
    - Statement that the provider did not make changes that alter the model weights (e.g., translating the model into a different language without retraining it)
    - Statement that the provider did not customize the GPAI model
&lt;sup&gt;4&lt;/sup&gt; «These statements may be particularly relevant for companies that provide business customers the ability to access a GPAI model but do not change the model itself.»
#### 3. Information about the AI system into which the GPAI model is integrated:
- » AI system name
- » Downstream provider name
- » Date of release
- » Date of revision(s), if any, or cadence of system updates
- » Modality/format (e.g., text, video, image)
- » Intended use
- » Known limitations
- » AI system characteristics
- » Related software and hardware
- » Information reasonably necessary…</t>
  </si>
  <si>
    <t xml:space="preserve">94f42551-e66f-5dda-a288-aa32e350bc19</t>
  </si>
  <si>
    <t xml:space="preserve">NIST-2024-0002-0006</t>
  </si>
  <si>
    <t xml:space="preserve">NIST/2024-17614/comments/comment_attachments/NIST-2024-0002-0006_1.md</t>
  </si>
  <si>
    <t xml:space="preserve">10 Office of Management and Budget, M-21-06, Guidance for Regulation of Artificial Intelligence Applications (2020), &lt;https://www.whitehouse.gov/wp-content/uploads/2020/11/M-21-06.pdf&gt;[.]</t>
  </si>
  <si>
    <t xml:space="preserve">[footnote] Office of Management and Budget, M-21-06, Guidance for Regulation of Artificial Intelligence Applications (2020), &lt;https://www.whitehouse.gov/wp-content/uploads/2020/11/M-21-06.pdf&gt;[.]
[link] https://www.whitehouse.gov/wp-content/uploads/2020/11/M-21-06.pdf</t>
  </si>
  <si>
    <t xml:space="preserve">This requirement would build off existing reporting by agencies, which already must report on outcomes of stakeholder</t>
  </si>
  <si>
    <t xml:space="preserve">; Michael Yang, Center for Democracy &amp; Technology, The Promise and Peril of Data &amp; Technology Use By Public Housing Agencies (2023), engagements that identify AI applications that are within the agencies' regulatory authorities.</t>
  </si>
  <si>
    <t xml:space="preserve">Agencies' AI inventories should cite the regulatory authorities that apply to each use case, as this will provide further insights into whether the use case meets the guidance's definitions of rights- or safety-impacting AI.</t>
  </si>
  <si>
    <t xml:space="preserve">…tral way may in fact harm particular marginalized communities, and would affirm that agencies are obligated to scrutinize such AI uses for unanticipated harms.&lt;sup&gt;9&lt;/sup&gt;
- **Require that agencies identify in their AI inventories whether or not a use case has been deemed safety- or rights-impacting in its AI inventory, with a justification, by making this a mandatory field in the AI inventory**. This requirement would build off existing reporting by agencies, which already must report on outcomes of stakeholder
[https://cdt.org/insights/report-challenging-the-use-of-algorithm-driven-decision-making-in-benefits-determination](https://cdt.org/insights/report-challenging-the-use-of-algorithm-driven-decision-making-in-benefits-determinations-affecting-people-with-disabilities/) [s-affecting-people-with-disabilities/](https://cdt.org/insights/report-challenging-the-use-of-algorithm-driven-decision-making-in-benefits-determinations-affecting-people-with-disabilities/); Hannah Quay-de la Vallee, Center for Democracy &amp; [Technology,](https://www.zotero.org/google-docs/?broken=dF9PGz) *[Public](https://www.zotero.org/google-docs/?broken=AQIbIk) Agencies' Use of Biometrics to Prevent Fraud and Abuse: Risks and [Alternatives](https://www.zotero.org/google-docs/?broken=AQIbIk)* (2022),
&lt;https://cdt.org/insights/public-agencies-use-of-biometrics-to-prevent-fraud-and-abuse-risks-and-alternatives/&gt;[.](https://www.zotero.org/google-docs/?broken=AQIbIk)
&lt;sup&gt;7&lt;/sup&gt; *See* Data &amp; Society's regulatory submission in response to this RFC for further detail. *See also, e.g.,* Elizabeth Laird and Maddy Dwyer, Center for Democracy &amp; [Technology,](https://www.zotero.org/google-docs/?broken=dF9PGz) *Off Task: EdTech Threats to Student Privacy and Equity in the Age of AI* [\(2023\),](https://www.zotero.org/google-docs/?broken=dF9PGz)
&lt;https://cdt.org/insights/report-off-task-edtech-threats-to-student-privacy-and-equity-in-the-age-of-ai/&gt;⟦; Michael Yang, Center for Democracy &amp; [Technology,](https://www.zotero.org/google-docs/?broken=dF9PGz) *The Promise and Peril of Data &amp; [Technology](https://www.zotero.org/google-docs/?broken=4Uu3jR) Use By Public Housing [Agencies](https://www.zotero.org/google-docs/?broken=4Uu3jR)* (2023),
[https://cdt.org/wp-content/uploads/2023/03/2023-03-17-Civic-Tech-Technology-in-Public-Housing-Agencies-final.](https://cdt.org/wp-content/uploads/2023/03/2023-03-17-Civic-Tech-Technology-in-Public-Housing-Agencies-final.pdf) [pdf;](https://cdt.org/wp-content/uploads/2023/03/2023-03-17-Civic-Tech-Technology-in-Public-Housing-Agencies-final.pdf) Lydia X.Z. Brown et al[.,](https://www.zotero.org/google-docs/?broken=duJ8va) Center for Democracy &amp; [Technology,](https://www.zotero.org/google-docs/?broken=dF9PGz) *Challenging the Use of [Algorithm-Driven](https://www.zotero.org/google-docs/?broken=duJ8va) [Decision-Making](https://www.zotero.org/google-docs/?broken=duJ8va) in Benefits Determinations Affecting People with Disabilities* (2020),
&lt;sup&gt;8&lt;/sup&gt; Office of Science and Technology Policy, *Blueprint for an AI Bill of Rights: Examples of [Automated](https://www.zotero.org/google-docs/?broken=FJoZDT) Systems* (2022), &lt;https://www.whitehouse.gov/ostp/ai-bill-of-rights/examples-of-automated-systems/&gt;[.](https://www.zotero.org/google-docs/?broken=FJoZDT)
&lt;sup&gt;9&lt;/sup&gt; For example, the guidance lists "detecting or measuring emotions, thought, or deception in humans." An AI system might perform such functions to help detect and prevent suspicious behavior based on speech, eye contact, bodily movements, and similar data points. Because of how the system might be designed and how its outputs might be used, it could adversely affect people with disabilities, Black and brown people, and transgender people.
engagements that identify AI applications that are within the agencies' regulatory authorities.&lt;sup&gt;10&lt;/sup&gt;⟧ Agencies' AI inventories should cite the regulatory authorities that apply to each use case, as this will provide further insights into whether the use case meets the guidance's definitions of rights- or safety-impacting AI.
### **Recommendation #2**
&lt;span id="page-5-0"&gt;&lt;/span&gt;**Clarify the list of presumed rights-impacting use cases to include further law enforcement-related activities in immigration; uses in public housing; and uses targeting labor and collective bargaining.**
OMB should clarify the draft Memo's application to certain AI uses in the immigration system which raise similar concerns to the use-cases listed in paragraphs 5(b)(ii)(B) and (C) but are not squarely covered by either paragraph. Immigration and Customs Enforcement (ICE) engages in law enforcement activities to investigate not just criminal, but civil and administrative law violations:&lt;sup&gt;11&lt;/sup&gt; These activities include the use of AI for surveillance through license plate recognition, face recognition scans, DNA testing, and other functionalities.&lt;sup&gt;12&lt;/sup&gt; Such uses are rights-impacting and far-reaching: one report finds ICE has used facial recognition technology on driver's license photographs belonging to 1 in 3 adults in the U.S.&lt;sup&gt;13&lt;/sup&gt; The draft Memo should be amended to include the proposals in Just Futures Law's comment for Section 5(b)(ii) to expressly include processes in the immigration system, biometric collection, and the use of credit bureaus.&lt;sup&gt;14&lt;/sup&gt;
The draft Memo should also expand to cover uses in public housing, such as the surveillance of tenants. Earlier this year, investigative reporting revealed that public housing authorities used "Emergency Safety and Security Grants" administered by the Department of Housing and Urban Development to purchase surveillance cameras—many equipped with face surveillance technologies. Those cameras were then used by housing authorities to surveil tenants, detect violations of lease terms (including those unrelated to tenant safety), and evict tenants.&lt;sup&gt;15&lt;/sup&gt; As HUD has since advised, such uses were not eligible for the emergency grants.&lt;sup&gt;16&lt;/sup&gt;
&lt;https://www.hud.gov/sites/dfiles/PIH/documents/2023PIH10.pdf&gt;.
&lt;sup&gt;10&lt;/sup&gt; «Office of Management and Budget, M-21-06, *Guidance for Regulation of Artificial Intelligence [Applications](https://www.zotero.org/google-docs/?dNuIXS)* [\(2020\),](https://www.zotero.org/google-docs/?dNuIXS) &lt;https://www.whitehouse.gov/wp-content/uploads/2020/11/M-21-06.pdf&gt;[.](https://www.zotero.org/google-docs/?dNuIXS)»
&lt;sup&gt;11&lt;/sup&gt; Nina Wang et al., *American Dragnet: [Data-Driven](https://www.zotero.org/google-docs/?00G9XE) Deportation in the 21st Century* (2022), [https://www.americandragnet.org/.](https://www.americandragnet.org/)
&lt;sup&gt;12&lt;/sup&gt; *[Id.](https://www.zotero.org/google-docs/?N6OX7N)*
&lt;sup&gt;13&lt;/sup&gt; *[Id.](https://www.zotero.org/google-docs/?FTTBOv)*
&lt;sup&gt;14&lt;/sup&gt; See Just Futures Law's regula…</t>
  </si>
  <si>
    <t xml:space="preserve">878dc780-cc1d-5238-946a-b612cd17fbdd</t>
  </si>
  <si>
    <t xml:space="preserve">21 For more on threat modeling, see [recommendation] 6.</t>
  </si>
  <si>
    <t xml:space="preserve">Recommendation #7: NIST guidelines on red-teaming should include guidance around conducting "adversary simulation," a realistic simulation of well-resourced, persistent, and highly motivated adversaries and actors, as an example of good practice for identifying risks from catastrophic misuse.</t>
  </si>
  <si>
    <t xml:space="preserve">NIST guidance around red-teaming should describe "adversary simulation" arrangements, where red teams realistically simulate malicious actors based on detailed threat models of specific risks, and recommend that such "adversary simulation" practice be especially considered for identifying risks from catastrophic misuse.</t>
  </si>
  <si>
    <t xml:space="preserve">Adversary simulation exercises can enhance the risk assessment process by tying abstract risks to practical, operational scenarios.</t>
  </si>
  <si>
    <t xml:space="preserve">…F-AI-Red-Teaming.pdf) Model Forum, 2023).
- **Frequency of threat modeling**: Given that we expect the risk landscape around dual-use foundation models to evolve dynamically as new capabilities emerge and are adopted more widely, it is important for AI actors to update existing threat models and develop additional threat models continually.
# &lt;span id="page-12-0"&gt;&lt;/span&gt;7 | Adversary simulation
**Recommendation #7: NIST guidelines on red-teaming should include guidance around conducting "adversary simulation," a realistic simulation of well-resourced, persistent, and highly motivated adversaries and actors, as an example of good practice for identifying risks from catastrophic misuse.**
⟦NIST guidance around red-teaming should describe "adversary simulation" arrangements, where red teams realistically simulate malicious actors based on detailed threat models &lt;sup&gt;21&lt;/sup&gt; of
&lt;sup&gt;21&lt;/sup&gt; «For more on threat modeling, see [recommendation](#page-11-0) 6.»
![](_page_13_Picture_0.jpeg)
specific risks, and recommend that such "adversary simulation" practice be especially considered for identifying risks from catastrophic misuse.⟧
Adversary simulation exercises can enhance the risk assessment process by tying abstract risks to practical, operational scenarios. In particular, it has the following advantages over other red-teaming archetypes: (1) it encourages evaluators to go beyond just identifying dangerous model behaviors to showcasing how these would grant operational advantages to actors, (2) it can help in more accurately quantifying risk, which would help ensure that attention is focused on genuinely dangerous elements.
Examples of adversary sim…</t>
  </si>
  <si>
    <t xml:space="preserve">c70380cf-412e-51cb-86c6-42f0d9cc9e06</t>
  </si>
  <si>
    <t xml:space="preserve">NIST-2023-0009-0026</t>
  </si>
  <si>
    <t xml:space="preserve">NIST/2023-28232/comments/comment_attachments/NIST-2023-0009-0026_1.md</t>
  </si>
  <si>
    <t xml:space="preserve">38 Jared P Cole, The Good Cause Exception to Notice and Comment Rulemaking: Judicial Review of Agency Action, Congr. Res. Serv. (2016), &lt;https://crsreports.congress.gov/product/pdf/R/R44356&gt;[.]</t>
  </si>
  <si>
    <t xml:space="preserve">[footnote] Jared P Cole, The Good Cause Exception to Notice and Comment Rulemaking: Judicial Review of Agency Action, Congr. Res. Serv. (2016), &lt;https://crsreports.congress.gov/product/pdf/R/R44356&gt;[.]
[link] https://crsreports.congress.gov/product/pdf/R/R44356</t>
  </si>
  <si>
    <t xml:space="preserve">In reviewing agency justifications for skipping rulemaking procedures due to "good cause" or emergencies, courts have rejected certain arguments that would incentivize end-runs around procedural requirements.</t>
  </si>
  <si>
    <t xml:space="preserve">Those arguments include bald assertions of an emergency, the need to meet an agency's own efficiency goals, and the agency's aim to comply with a statutory deadline.</t>
  </si>
  <si>
    <t xml:space="preserve">An agency-induced delay to meet its mission should not be cause for a waiver.</t>
  </si>
  <si>
    <t xml:space="preserve">…s to safety or rights overall or would create an unacceptable impediment to critical agency operations." Without further checks, such a waiver incentivizes agencies to skip the procedural requirements of the draft Memo. OMB can look to existing laws and practices for examples of how to improve the waiver process.
OMB can look to principles from administrative law for standards to review waivers. In reviewing agency justifications for skipping rulemaking procedures due to "good cause" or emergencies, courts have rejected certain arguments that would incentivize end-runs around procedural requirements. ⟦Those arguments include bald assertions of an emergency, the need to meet an agency's own efficiency goals, and the agency's aim to comply with a statutory deadline.&lt;sup&gt;38&lt;/sup&gt;⟧ An agency-induced delay to meet its mission should not be cause for a waiver. OMB can also look to the Federal Communications Commission (FCC)'s forbearance rules. Under these rules, the FCC reviews telecom carriers' petitions asking the FCC to waive enforcement of its regulations, and will grant those petitions only if all requirements are met, including meeting the three statutory requirements.&lt;sup&gt;39&lt;/sup&gt; The forbearance rules enumerate procedural requirements&lt;sup&gt;40&lt;/sup&gt; relevant to waivers submitted to OMB.
**OMB should further clarify its process for granting waivers and provide transparency into the process**. The review process should include a **strong presumption against issuing waivers**. Further, OMB should provide **strong and clear standards for bulk waivers** contemplated at Footnote 25 of the draft memo, such as granting them only in extraordinary circumstances.
A related exclusion that requires further guardrails is the one allowing AI research and development to skip the minimum practices. Agencies that conduct **research and development**
&lt;sup&gt;38&lt;/sup&gt; «Jared P Cole, *The Good Cause Exception to Notice and Comment [Rulemaking:](https://www.zotero.org/google-docs/?4DkCa1) Judicial Review of Agency Action*, [Congr.](https://www.zotero.org/google-docs/?4DkCa1) Res. Serv.» (2016), &lt;https://crsreports.congress.gov/product/pdf/R/R44356&gt;[.](https://www.zotero.org/google-docs/?4DkCa1)
&lt;sup&gt;39&lt;/sup&gt; 47 U.S. Code § 160; Pub. L. 104–104, title IV, § 401, Feb. 8, 1996, 110 Stat. 128.
&lt;sup&gt;40&lt;/sup&gt; Federal [Communications](https://www.zotero.org/google-docs/?Cd7tD7) Commission, Forbearance Procedural Rules, &lt;https://www.fcc.gov/general/forbearance-procedural-rules&gt;[.](htt…</t>
  </si>
  <si>
    <t xml:space="preserve">e37801f1-97e9-5f5f-99ea-c2ffcb8584cd</t>
  </si>
  <si>
    <t xml:space="preserve">One example is the Data Privacy Accountability Framework published by the Center for Information Policy Leadership.</t>
  </si>
  <si>
    <t xml:space="preserve">Companies, especially those that do not already have strong AI governance frameworks today, should be assessing how their privacy processes can be applied in an AI governance context.</t>
  </si>
  <si>
    <t xml:space="preserve">Lessons can also be drawn from reviewing external privacy accountability best practices. 37</t>
  </si>
  <si>
    <t xml:space="preserve">An important lesson from privacy regulation is the value of a risk-based, proportional approach.</t>
  </si>
  <si>
    <t xml:space="preserve">…Many of the principles central to AI governance are also emphasized within privacy governance practices (e.g., fairness, transparency). Google, for example, has a sophisticated internal privacy program to ensure that those involved at all stages of product development understand and implement our privacy [principles](https://safety.google/principles/) to build products that are private by design. Companies, especially those that do not already have strong AI governance frameworks today, should be assessing how their privacy processes can be applied in an AI governance context. ⟦Lessons can also be drawn from reviewing external privacy accountability best practices. 37⟧
An important lesson from privacy regulation is the value of a risk-based, proportional approach. The European Union's General Data Protection Regulation (GDPR), for example, encourages organizations to implement protections that correspond to risk levels of their data processing activities. Where processing is likely to result in a high risk to the rights and freedoms of individuals, the GDPR requires a data protection impact assessment that identifies and addresses those risks.
It is also important to create mechanisms to promote the safe and secure deployment of AI across borders, while ensuring regulatory interoperability. Google is a strong supporter of the Global Cross Border Privacy Rules (CBPR) system, a certification scheme that advances the trusted flow of information across borders. &lt;sup&gt;38&lt;/sup&gt; The structure of the CBPR system could serve as a model to develop and validate cross-border commitments on AI safety, security, and accountability.
Another principle that cuts across many areas of regulation is the importance of technology-neutral standards that can be tailored to different use cases. Such standards enable innovation while also assuring a responsible approach. Regulators should avoid the temptation to prescribe technology-specific or overly prescriptive standards that cut across different domains of AI use cases—and instead allow for the development of optimal standards that can be adapted for specific contexts and use cases.
For example, in the cybersecurity and privacy context, Google Cloud implements a "shared fate" model that may serve as a useful paradigm for AI. 39 In this model, Google maintains an ongoing partnership with customers, providing a secure workspace and clear
&lt;sup&gt;39&lt;/sup&gt; Shared [responsibilities](https://cloud.google.com/architecture/framework/security/shared-responsibility-shared-fate) and shared fate on Google Cloud | Architecture Framework ("You're the expert in knowing the security and regulatory requirements for your business . . . . When you run your workloads on Google Cloud, you must identify the security controls that you need to configure in Google Cloud . . . . To decide which security controls to implement, you must consider the following factors: Your regulatory compliance obligations[,] Your organization's security standards and risk management plan[, and] Security requirements of your customers and your vendors.").
&lt;sup&gt;37&lt;/sup&gt; «One example is the Data Privacy Accountability Framework published by the Center for Information Policy Leadership.»
&lt;sup&gt;38&lt;/sup&gt; [Google](https://blog.google/outreach-initiatives/public-policy/google-and-the-global-cross-border-privacy-rules/) and the Global Cross Border Privacy Rules.
recommendations for security controls, settings, and associated best practices. This allows customers to choose the settings and protections that work best for their use cases, paired with trusted guidance from Cloud security…</t>
  </si>
  <si>
    <t xml:space="preserve">f196e82b-839d-5aef-879f-2aa9d9ab61a3</t>
  </si>
  <si>
    <t xml:space="preserve">19 Chloe Autio et al., A Snapshot of Artificial Intelligence Procurement Challenges (2023), &lt;https://files.thegovlab.org/a-snapshot-of-ai-procurement-challenges-june2023.pdf&gt; (finding, e.g. "Civilian agencies like the Department of Transportation (DOT) describe a more conservative approach to AI procurement, given the agency's mandate to protect public safety.")</t>
  </si>
  <si>
    <t xml:space="preserve">[footnote] Chloe Autio et al., A Snapshot of Artificial Intelligence Procurement Challenges (2023), &lt;https://files.thegovlab.org/a-snapshot-of-ai-procurement-challenges-june2023.pdf&gt; (finding, e.g. "Civilian agencies like the Department of Transportation (DOT) describe a more conservative approach to AI procurement, given the agency's mandate to protect public safety.")
[link] https://files.thegovlab.org/a-snapshot-of-ai-procurement-challenges-june2023.pdf</t>
  </si>
  <si>
    <t xml:space="preserve">Compounding the problem, agency officials have been given mixed signals through varying government definitions of what counts as "AI."</t>
  </si>
  <si>
    <t xml:space="preserve">Without good, consistent guidance, agency officials will struggle to classify AI, as an Inspector General's report on NASA's AI management strategy illustrates:</t>
  </si>
  <si>
    <t xml:space="preserve">"Personnel we interviewed stated they reported AI based on their own individual understanding of what the term means rather than a formal definition provided by the</t>
  </si>
  <si>
    <t xml:space="preserve">… This welcome policy will face a persistent challenge: people fail to recognize high-risk AI uses. Even experts struggle. In one study, graduate-level computer scientists asked to pinpoint risks in an AI system made poor judgment calls over who was at risk, what the harms were, and what caused the harm.&lt;sup&gt;18&lt;/sup&gt;
Agencies need to rely on more than their best guesses when identifying AI risks. Compounding the problem, agency officials have been given mixed signals through varying government definitions of what counts as "AI." ⟦Without good, consistent guidance, agency officials will struggle to classify AI,&lt;sup&gt;19&lt;/sup&gt; as an Inspector General's report on NASA's AI management strategy illustrates:⟧
"Personnel we interviewed stated *they reported AI based on their own individual understanding of what the term means rather than a formal definition* provided by the
&lt;sup&gt;17&lt;/sup&gt; *See* Center for American Progress's regulatory submission in response to this RFC for further detail.
&lt;sup&gt;18&lt;/sup&gt; Emily Black et al., *Toward [Operationalizing](https://www.zotero.org/google-docs/?broken=cgIIOb) Pipeline-Aware ML Fairness: A Research Agenda for Developing Practical Guidelines and Tools*, *in* Equity and Access in Algorithms, Mechanisms, and [Optimization](https://www.zotero.org/google-docs/?broken=cgIIOb) 1 (2023), &lt;https://dl.acm.org/doi/10.1145/3617694.3623259&gt;[.](https://www.zotero.org/google-docs/?broken=cgIIOb)
&lt;sup&gt;19&lt;/sup&gt; «Chloe Autio et al., *A Snapshot of Artificial Intelligence [Procurement](https://www.zotero.org/google-docs/?broken=J7HorN) Challenges* (2023), &lt;https://files.thegovlab.org/a-snapshot-of-ai-procurement-challenges-june2023.pdf&gt; (finding, e.g. "Civilian agencies like the Department of Transportation (DOT) describe a more conservative approach to AI procurement, given the agency's mandate to protect public safety.")»
Agency. As a result, NASA does not have a singular designation or classification mechanism to accurately classify and track AI or to identify AI expenditures within the Agency's financial system, making it difficult for the Agency to meet federal requirements to monitor its use of AI." 20 (emphasis added)
OMB should issue further guidance, provide support and establish oversight mechanisms to h…</t>
  </si>
  <si>
    <t xml:space="preserve">db698d98-6e48-5323-a933-a6156d39728c</t>
  </si>
  <si>
    <t xml:space="preserve">In PAI's recent Guidance for Safe Foundation Model [Deployment,](https://partnershiponai.org/modeldeployment/) we use the term "open access" release, to refer to models released publicly with full access to at least model weights.</t>
  </si>
  <si>
    <t xml:space="preserve">[footnote] In PAI's recent Guidance for Safe Foundation Model [Deployment,](https://partnershiponai.org/modeldeployment/) we use the term "open access" release, to refer to models released publicly with full access to at least model weights.
[link] https://partnershiponai.org/modeldeployment/</t>
  </si>
  <si>
    <t xml:space="preserve">Potential voluntary, regulatory, and international mechanisms to manage the risks and maximize the benefits of these models.</t>
  </si>
  <si>
    <t xml:space="preserve">This paper adopts the RFC's usage of "open foundation models" to refer to models with widely available model weights, while noting that model weights are not the only component of models that can be released by providers. 1</t>
  </si>
  <si>
    <t xml:space="preserve">As the RFC notes, open foundation models promise a number of benefits.</t>
  </si>
  <si>
    <t xml:space="preserve">…3/11/01/2023-24283/safe-secure-and-trustworthy-development-and-use-of-artificial-intelligence) (the "AI Executive Order").
This submission responds to NTIA's request for [comment](https://www.ntia.gov/federal-register-notice/2024/dual-use-foundation-artificial-intelligence-models-widely-available) (RFC) on:
- Risks and benefits of dual use foundation models with widely available model weights
- Potential voluntary, regulatory, and international mechanisms to manage the risks and maximize the benefits of these models.
⟦This paper adopts the RFC's usage of "open foundation models" to refer to models with widely available model weights, while noting that model weights are not the only component of models that can be released by providers. 1⟧
As the RFC notes, open foundation models promise a number of benefits. However, all models — whether they are open or more closed — present risks. It is vital that appropriate steps are taken to address these risks while promoting benefits. To get this balance right, any mechanisms for risk mitigation for foundation models should be evidence-based, and be appropriately tailored to target identified risks, including by taking into account model capabilities and release type. Applying these principles to open foundation models, specific risk mitigation measures should only be imposed on open foundation models when that is necessary to address some differential or **marginal risk** posed by those models.
This submission draws on work undertaken by PAI in preparing its [Guidance](https://partnershiponai.org/modeldeployment/) for Safe Foundation Model [Deployment](https://partnershiponai.org/modeldeployment/) (the "Model Deployment Guidance"). The Guidance is a voluntary framework for foundation model providers, containing detailed recommendations to identify and mitigate risks associated with these models. 2 It provides specialized guidance tailored to different model capabilities, and to different model release types — including releases where model weights are made widely available at the time of deployment.
PAI submits that NTIA's work under the AI Executive Order should be informed by the following principles:
● **All foundation models need risk mitigations.** Appropriate risk identification and mitigation practices should be adopted for the
&lt;sup&gt;1&lt;/sup&gt; «In PAI's recent Guidance for Safe Foundation Model [Deployment,](https://partnershiponai.org/modeldeployment/) we use the term "open access" release, to refer to models released publicly with full access to at least model weights.»
&lt;sup&gt;2&lt;/sup&gt; PAI's Model [Deployment](https://partnershiponai.org/modeldeployment/) Guidance defines **foundation models** "to encompass all models with generally applicable functions that are designed to be used across a variety of contexts. The current generation of these systems is characterized by training deep learning models on large datasets (which requires significant computational resou…</t>
  </si>
  <si>
    <t xml:space="preserve">f8013d19-576b-5616-b91d-bbd6913acb06</t>
  </si>
  <si>
    <t xml:space="preserve">40 Federal Communications Commission, Forbearance Procedural Rules, &lt;https://www.fcc.gov/general/forbearance-procedural-rules&gt;[.]</t>
  </si>
  <si>
    <t xml:space="preserve">[footnote] Federal Communications Commission, Forbearance Procedural Rules, &lt;https://www.fcc.gov/general/forbearance-procedural-rules&gt;[.]
[link] https://www.fcc.gov/general/forbearance-procedural-rules</t>
  </si>
  <si>
    <t xml:space="preserve">Under these rules, the FCC reviews telecom carriers' petitions asking the FCC to waive enforcement of its regulations, and will grant those petitions only if all requirements are met, including meeting the three statutory requirements.</t>
  </si>
  <si>
    <t xml:space="preserve">The forbearance rules enumerate procedural requirements relevant to waivers submitted to OMB.</t>
  </si>
  <si>
    <t xml:space="preserve">OMB should further clarify its process for granting waivers and provide transparency into the process.</t>
  </si>
  <si>
    <t xml:space="preserve">…uld incentivize end-runs around procedural requirements. Those arguments include bald assertions of an emergency, the need to meet an agency's own efficiency goals, and the agency's aim to comply with a statutory deadline.&lt;sup&gt;38&lt;/sup&gt; An agency-induced delay to meet its mission should not be cause for a waiver. OMB can also look to the Federal Communications Commission (FCC)'s forbearance rules. Under these rules, the FCC reviews telecom carriers' petitions asking the FCC to waive enforcement of its regulations, and will grant those petitions only if all requirements are met, including meeting the three statutory requirements.&lt;sup&gt;39&lt;/sup&gt; ⟦The forbearance rules enumerate procedural requirements&lt;sup&gt;40&lt;/sup&gt; relevant to waivers submitted to OMB.⟧
**OMB should further clarify its process for granting waivers and provide transparency into the process**. The review process should include a **strong presumption against issuing waivers**. Further, OMB should provide **strong and clear standards for bulk waivers** contemplated at Footnote 25 of the draft memo, such as granting them only in extraordinary circumstances.
A related exclusion that requires further guardrails is the one allowing AI research and development to skip the minimum practices. Agencies that conduct **research and development**
&lt;sup&gt;38&lt;/sup&gt; Jared P Cole, *The Good Cause Exception to Notice and Comment [Rulemaking:](https://www.zotero.org/google-docs/?4DkCa1) Judicial Review of Agency Action*, [Congr.](https://www.zotero.org/google-docs/?4DkCa1) Res. Serv. (2016), &lt;https://crsreports.congress.gov/product/pdf/R/R44356&gt;[.](https://www.zotero.org/google-docs/?4DkCa1)
&lt;sup&gt;39&lt;/sup&gt; 47 U.S. Code § 160; Pub. L. 104–104, title IV, § 401, Feb. 8, 1996, 110 Stat. 128.
&lt;sup&gt;40&lt;/sup&gt; «Federal [Communications](https://www.zotero.org/google-docs/?Cd7tD7) Commission, Forbearance Procedural Rules, &lt;https://www.fcc.gov/general/forbearance-procedural-rules&gt;[.](https://www.zotero.org/google-docs/?Cd7tD7)» Those three statutory requirements are "(1) enforcement of such regulation or provision is not necessary to ensure that the charges, practices, classifications, or regulations by, for, or in connection with that telecommunications carrier or telecommunications service are just and reasonable and are not unjustly or unreasonably discriminatory; (2) enforcement of such regulation or provision is no…</t>
  </si>
  <si>
    <t xml:space="preserve">f389381f-8a57-5938-b40f-66eb920c7de0</t>
  </si>
  <si>
    <t xml:space="preserve">89 Fed. Reg. at 10047.</t>
  </si>
  <si>
    <t xml:space="preserve">[reference] Fed. Reg. at 10047</t>
  </si>
  <si>
    <t xml:space="preserve">On these facts, however, the Office's guidance points to the opposite conclusion.</t>
  </si>
  <si>
    <t xml:space="preserve">The guidance states that "a natural person who merely recognizes and appreciates the output of an AI system as an invention, particularly when the properties and utility of the output are apparent to those of ordinary skill, is not necessarily an inventor."</t>
  </si>
  <si>
    <t xml:space="preserve">This is affirmed by Scenario 1 of Example 1, where the Office concludes that the AI's output is not patentable because the engineers have merely asked AI to solve a problem.</t>
  </si>
  <si>
    <t xml:space="preserve">… inventors at the time they learned of the AI's proposed structure.&lt;sup&gt;14&lt;/sup&gt; For examination purposes, the regular patent law inquiries of whether the proposed schematic was new and non-obvious (details also not provided in the example) would be relevant to the transaxle's patentability, as would compliance with § 112. But the "contribution" of AI, as compared to the engineers, would not be.
On these facts, however, the Office's guidance points to the opposite conclusion. ⟦The guidance states that "a natural person who merely recognizes and appreciates the output of an AI system as an invention, particularly when the properties and utility of the output are apparent to those of ordinary skill, is not necessarily an inventor."&lt;sup&gt;15&lt;/sup&gt;⟧ This is affirmed by Scenario 1 of Example 1, where the Office concludes that the AI's output is not patentable because the engineers have merely asked AI to solve a problem.&lt;sup&gt;16&lt;/sup&gt; The Office's reasoning, however, is precisely an inquiry into the manner of invention that is prohibited by § 103. The Office's guidance, moreover, borrows the concept of the level of ordinary skill in the art, an element of the obviousness analysis, and makes it part of the question of inventorship. This even more explicitly illustrates what the Office's guidance is doing in this passage: conflating inventorship and obviousness.
The Office devotes no consideration to the inevitable policy implications of its approach and conclusion, which will leave new potential inventions, such as in Example 1, without inventors. Lack of patent protection will mean that no one has an incentive to turn a potentially new schematic into a viable new commercial product — building prototypes, factories, developing marketing, or any of the other steps involved in taking patentable innovation to market. No investment of resources, time, or money can rationally be spent to develop an idea when the final product can be readily copied.
The guidance also provides no definition of what constitutes "AI," which leads to this heightened machine-versus-human-contribution analysis. When is an innovator using an advanced computer program and when is he or she using AI? As this inventorship disclosure requirement for AI is effectively a new one on top of the disclosures required by § 112, the lack of definition is troubling. No such disclosures are required for use of computers as a tool in general (unless necessary for compliance with § 112).
&lt;sup&gt;14&lt;/sup&gt; *See* Invitrogen, 429 F.3d at 1064 (explaining that analysis of appreciation "requires objective corroboration of the inventor's subjective beliefs.").
&lt;sup&gt;15&lt;/sup&gt; «89 Fed. Reg. at 10047.»
&lt;sup&gt;16&lt;/sup&gt; *Example 1*, supra note 10.
![](_page_16_Picture_0.jpeg)
The concerns about disclosure are compounded by the Office's clear warning that inequitable conduct may result from a failure to adequately investigate inventorship when AI is used as well as from a failure to disclose such information if it is material to patentability.&lt;sup&gt;17&lt;/sup&gt; Moreover, even where innovators and thei…</t>
  </si>
  <si>
    <t xml:space="preserve">8613a69f-c34f-5f1c-8ccc-3714c01c10c3</t>
  </si>
  <si>
    <t xml:space="preserve">For insights into verification approaches and novel approaches in DeepSeek R1, see Subbaro Kambhampati, "On the use of Verifiers with LLMs - External vs. Internal LLM-Modulo." LinkedIn Blog, [(25) Post | LinkedIn.][20]</t>
  </si>
  <si>
    <t xml:space="preserve">[footnote] For insights into verification approaches and novel approaches in DeepSeek R1, see Subbaro Kambhampati, "On the use of Verifiers with LLMs - External vs. Internal LLM-Modulo." LinkedIn Blog, [(25) Post | LinkedIn.](https://www.linkedin.com/posts/subbarao-kambhampati-3260708_%F0%9D%90%8E%F0%9D%90%A7-%F0%9D%90%AD%F0%9D%90%A1%F0%9D%90%9E-%F0%9D%90%AE%F0%9D%90%AC%F0%9D%90%9E-%F0%9D%90%A8%F0%9D%90%9F-%
[link] https://www.linkedin.com/posts/subbarao-kambhampati-3260708_%F0%9D%90%8E%F0%9D%90%A7-%F0%9D%90%AD%F0%9D%90%A1%F0%9D%90%9E-%F0%9D%90%AE%F0%9D%90%AC%F0%9D%90%9E-%F0%9D%90%A8%F0%9D%90%9F-%F0%9D%90%95%F0%9D%90%9E%F0%9D%90%AB%F0%9D%90%A2%F0%9D%90%9F%F0%9D%90%A2%F0%9D%90%9E%F0%9D%90%AB%F0%9D%90%AC-activity-7292980431279296513-Sp95/</t>
  </si>
  <si>
    <t xml:space="preserve">To ensure guarantees of the correctness of AI solutions, deep learning AI system architectures are enhanced with inference-stage, reinforcement learning post-training, and external verification mechanisms.</t>
  </si>
  <si>
    <t xml:space="preserve">These mechanisms provide critiques or reward signals to adjust the deep learning model's generation of next candidates towards correct solutions.</t>
  </si>
  <si>
    <t xml:space="preserve">Formal AI verification – including determining whether countries' AI and AI systems comply with treaty obligations may require further U.S. investment in education, research and policy.</t>
  </si>
  <si>
    <t xml:space="preserve">…rucial for energy distribution and cooling. In 2024, the U.S. was home to more than 60% of the world's top-tier AI researchers.[19](#page-7-1) Additionally, the US has a strong foundation in emerging AI domains, giving it a competitive edge over territories such as Europe and Asia. One of its key strengths is its education system, which effectively educates AI development and application talent.
To ensure guarantees of the correctness of AI solutions, deep learning AI system architectures are enhanced with inference-stage, reinforcement learning post-training, and external verification mechanisms. ⟦These mechanisms provide critiques or reward signals to adjust the deep learning model's generation of next candidates towards correct solutions.⟧[20](#page-7-2) Formal AI verification – including determining whether countries' AI and AI systems comply with treaty obligations[21](#page-7-3) may require further U.S. investment in education, research and policy. Even as the
&lt;span id="page-7-0"&gt;&lt;/span&gt;&lt;sup&gt;18&lt;/sup&gt; Kristalina Georgieva. ["AI Will Transform the Global Economy. Let's Make Sure It Benefits Humanity."](https://www.imf.org/en/Blogs/Articles/2024/01/14/ai-will-transform-the-global-economy-lets-make-sure-it-benefits-humanity) *IMF Blog,*  Jan. 14, 2024.
&lt;span id="page-7-1"&gt;&lt;/span&gt;&lt;sup&gt;19&lt;/sup&gt; Jordan Brown. "The Global AI Race: Top 12 Countries Leading the Charge in 2024." *33 Square.* Updated Jan. 1, 2025, [https://www.33rdsquare.com/top-countries-leading-in-ai-research-technology/.](https://www.33rdsquare.com/top-countries-leading-in-ai-research-technology/)
&lt;span id="page-7-2"&gt;&lt;/span&gt;&lt;sup&gt;20&lt;/sup&gt; «For insights into verification approaches and novel approaches in DeepSeek R1, *see* Subbaro Kambhampati, "On the use of Verifiers with LLMs – External vs. Internal LLM-Modulo." *LinkedIn Blog,* [\(25\) Post | LinkedIn.](https://www.linkedin.com/posts/subbarao-kambhampati-3260708_%F0%9D%90%8E%F0%9D%90%A7-%F0%9D%90%AD%F0%9D%90%A1%F0%9D%90%9E-%F0%9D%90%AE%F0%9D%90%AC%F0%9D%90%9E-%F0%9D%90%A8%F0%9D%90%9F-%F0%9D%90%95%F0%9D%90%9E%F0%9D%90%AB%F0%9D%90%A2%F0%9D%90%9F%F0%9D%90%A2%F0%9D%90%9E%F0%9D%90%AB%F0%9D%90%AC-activity-7292980431279296513-Sp95/)»
&lt;span id="page-7-3"&gt;&lt;/span&gt;&lt;sup&gt;21&lt;/sup&gt; Matthew Mittelsteadt, "AI Verification: Mechanisms to Ensure AI Arms Control Compliance," (Center for Security and Emerging Technology, February 2021).&lt;https://doi.org/10.51593/20190020&gt; or [AI Verification | Center](https://cset.georgetown.edu/publication/ai-verification/)  [for Security and Emerging Technology.](https://cset.georgetown.edu/publication/a…</t>
  </si>
  <si>
    <t xml:space="preserve">577648e7-b100-5669-86a5-db7849cb82bb</t>
  </si>
  <si>
    <t xml:space="preserve">ACM-AI-RFI-2025</t>
  </si>
  <si>
    <t xml:space="preserve">NSF/2025-02305/comments/comment_attachments/ACM-AI-RFI-2025_1.md</t>
  </si>
  <si>
    <t xml:space="preserve">Christine A. Varney, Assistant Att'y Gen., Antitrust Div., U.S. Dep't of Justice, Promoting Innovation Through Patent and Antitrust Law and Policy, Remarks as Prepared for the Joint Workshop of the U.S. Patent and Trademark Office, the Federal Trade Comm'n, and the Dep't of Justice on the Intersection of Patent Policy and Competition Policy: Implications for Promoting Innovation 8 (May 26, 2010), available at [http://www.atrnet.gov/subdocs/2010/260101.htm.](http://www.atrnet.gov/subdocs/2010/260101.htm)</t>
  </si>
  <si>
    <t xml:space="preserve">[footnote] Christine A. Varney, Assistant Att'y Gen., Antitrust Div., U.S. Dep't of Justice, Promoting Innovation Through Patent and Antitrust Law and Policy, Remarks as Prepared for the Joint Workshop of the U.S. Patent and Trademark Office, the Federal Trade Comm'n, and the Dep't of Justice on the Intersection of Patent Policy and Competition Policy: Implications for Promoting Innovation 8 (May 26, 2010), 
[link] http://www.atrnet.gov/subdocs/2010/260101.htm.</t>
  </si>
  <si>
    <t xml:space="preserve">The U.S. Department of Justice (DOJ) has already encouraged SSOs to define FRAND more clearly.</t>
  </si>
  <si>
    <t xml:space="preserve">For example, DOJ's former assistant attorney general Christine Varney explained that "clearer rules will allow for more informed participation and will enable participants to make more knowledgeable decisions regarding implementation of the standard. Clarity alone does not eliminate the possibility of hold-up…but it is a step in the right direction."</t>
  </si>
  <si>
    <t xml:space="preserve">As another example, Renata Hesse, a previous head of the DOJ's Antitrust Division, provided important suggestions for SSOs to guard against SEP abuses that included at least three of the aforementioned principles.</t>
  </si>
  <si>
    <t xml:space="preserve">…wever, require participants to search their patent portfolios as such requirements can be overly burdensome and expensive, effectively deterring participation in an SSO. In addition, FRAND policies that do not necessarily require disclosure, but specify requirements for licensing commitments for contributed technology, can accomplish many, if not all, of the purposes of disclosure requirements.*
*The U.S. Department of Justice (DOJ) has already encouraged SSOs to define FRAND more clearly. ⟦For example, DOJ's former assistant attorney general Christine Varney explained that "clearer rules will allow for more informed participation and will enable participants to make more knowledgeable decisions regarding implementation of the standard. Clarity alone does not eliminate the possibility of hold-up…but it is a step in the right direction."&lt;sup&gt;8&lt;/sup&gt;⟧ As another example, Renata Hesse, a previous head of the DOJ's Antitrust Division, provided important suggestions for SSOs to guard against SEP abuses that included at least three of the aforementioned principles.&lt;sup&gt;9&lt;/sup&gt;*
&lt;sup&gt;8&lt;/sup&gt; «Christine A. Varney, Assistant Att'y Gen., Antitrust Div., U.S. Dep't of Justice, Promoting Innovation Through Patent and Antitrust Law and Policy, Remarks as Prepared for the Joint Workshop of the U.S. Patent and Trademark Office, the Federal Trade Comm'n, and the Dep't of Justice on the Intersection of Patent Policy and Competition Policy: Implications for Promoting Innovation 8 (May 26, 2010), *available at* [http://www.atrnet.gov/subdocs/2010/260101.htm.](http://www.atrnet.gov/subdocs/2010/260101.htm)»
&lt;sup&gt;9&lt;/sup&gt; Renata Hess, Deputy Assistant Attorney General, *Six 'Small' Proposals for SSOs Before Lunch*, Prepared for the ITU-T Patent Roundtable (October 10, 2012), *available at* [https://www.justice.gov/atr/speech/six-smallproposals-ssos-lunch.](https://www.justice.gov/atr/speech/six-smallproposals-ssos-lunch)
*In response to DOJ's calls for more clarity, the IEEE Standards Association (I…</t>
  </si>
  <si>
    <t xml:space="preserve">aaa923e1-596f-58cd-9437-32e0159c4d15</t>
  </si>
  <si>
    <t xml:space="preserve">NIST-2023-0009-0202</t>
  </si>
  <si>
    <t xml:space="preserve">NIST/2023-28232/comments/comment_attachments/NIST-2023-0009-0202_1.md</t>
  </si>
  <si>
    <t xml:space="preserve">Bai et al. (2022) Constitutional AI: Harmlessness from AI Feedback. arXiv. https://arxiv.org/abs/2212.08073.</t>
  </si>
  <si>
    <t xml:space="preserve">[footnote] Bai et al. (2022) Constitutional AI: Harmlessness from AI Feedback. arXiv. https://arxiv.org/abs/2212.08073.
[link] https://arxiv.org/abs/2212.08073.</t>
  </si>
  <si>
    <t xml:space="preserve">We suggest some safety practices for consideration:</t>
  </si>
  <si>
    <t xml:space="preserve">Supervised fine-tuning (SFT), reinforcement learning from human feedback (RLHF), direct preference optimization (DPO), and/or reinforcement learning from AI feedback</t>
  </si>
  <si>
    <t xml:space="preserve">Adversarial training against highly diverse manual and automated adversarial attacks</t>
  </si>
  <si>
    <t xml:space="preserve">…y&lt;sup&gt;35,36,37&lt;/sup&gt;
- Invest in further research in developing safeguards robust to fine-tuning&lt;sup&gt;38&lt;/sup&gt;
Practice 5.2 ("Implement safeguards proportionate to the model's misuse risk") and Appendix B would benefit from additional detail. Implementing adequate safeguards is one of the most important yet technically challenging practices for the safe development of a dual-use foundation model. We suggest some safety practices for consideration:
&lt;sup&gt;30&lt;/sup&gt; Lermen et al. (2023) LoRA Fine-tuning Efficiently Undoes Safety Training in Llama 2-Chat 70B. *arXiv*. &lt;a href="https://arxiv.org/abs/2310.20624"&gt;https://arxiv.org/abs/2310.20624&lt;/a&gt;.
https://downloads.regulations.gov/NTIA-2023-0009-0291/attachment 1.pdf.
&lt;sup&gt;&amp;&lt;/sup&gt;lt;sup&gt;29&lt;/sup&gt; Ibid.
&lt;sup&gt;&amp;&lt;/sup&gt;lt;sup&gt;31&lt;/sup&gt; Arditi et al. (2024) Refusal in Language Models Is Mediated by a Single Direction. *arXiv*. &lt;a href="https://arxiv.org/abs/2406.11717"&gt;https://arxiv.org/abs/2406.11717&lt;/a&gt;.
&lt;sup&gt;&amp;&lt;/sup&gt;lt;sup&gt;32&lt;/sup&gt; EleutherAI (2024) EleutherAI NTIA RFC Submission.
&lt;sup&gt;&amp;&lt;/sup&gt;lt;sup&gt;33&lt;/sup&gt; Srikumar, Madhulika et al. (2024) Risk Mitigation Strategies for the Open Foundation Model Value Chain. https://partnershiponai.org/resource/risk-mitigation-strategies-for-the-open-foundation-model-value-chain/.
&lt;sup&gt;&amp;&lt;/sup&gt;lt;sup&gt;34&lt;/sup&gt; Srikumar, Madhulika et al. (2024) Risk Mitigation Strategies for the Open Foundation Model Value Chain. &lt;a href="https://partnershiponai.org/resource/risk-mitigation-strategies-for-the-open-foundation-model-value-chain/"&gt;https://partnershiponai.org/resource/risk-mitigation-strategies-for-the-open-foundation-model-value-chain/&lt;/a&gt;.
&lt;sup&gt;&amp;&lt;/sup&gt;lt;sup&gt;35&lt;/sup&gt; Seger, Elizabeth et al. (2023). Open-Sourcing Highly Capable Foundation Models. https://www.governance.ai/research-paper/open-sourcing-highly-capable-foundation-models. &lt;sup&gt;36&lt;/sup&gt; Kapoor, Sayash et al. (2024). On the Societal Impact of Open Foundation Models. *arXiv*.
https://arxiv.org/abs/2403.07918.
&lt;sup&gt;&amp;&lt;/sup&gt;lt;sup&gt;37&lt;/sup&gt; Bloomfield, Doni et al. (2024) Al and biosecurity: The need for governance. *Science*. &lt;a href="https://www.science.org/doi/10.1126/science.adq1977"&gt;https://www.science.org/doi/10.1126/science.adq1977&lt;/a&gt;.
&lt;sup&gt;&amp;&lt;/sup&gt;lt;sup&gt;38&lt;/sup&gt; Tamirisa, Rishub et al. (2024) Tamper-Resistant Safeguards for Open-Weight LLMs. https://arxiv.org/abs/2408.00761. Note that there are no known methods for safeguards that are completely robust to fine-tuning.
- ⟦Supervised fine-tuning (SFT), reinforcement learning from human feedback (RLHF),&lt;sup&gt;39&lt;/sup&gt; direct preference optimization (DPO),&lt;sup&gt;40&lt;/sup&gt; and/or reinforcement learning from AI feedback&lt;sup&gt;41&lt;/sup&gt;⟧
- Adversarial training against highly diverse manual&lt;sup&gt;42&lt;/sup&gt; and automated adversarial attacks&lt;sup&gt;43&lt;/sup&gt;
- Circuit breakers&lt;sup&gt;44&lt;/sup&gt;
- Latent adversarial training&lt;sup&gt;45&lt;/sup&gt;
- Monitor model activations (not only input and output text) to detect anomalous or harmful states
- Develop safeguards that are relatively more robust to fine-tuning, especially for open-weight LLMs&lt;sup&gt;46&lt;/sup&gt;
- Monitor distribution platforms and try to reduce access to versions of models which can be misused&lt;sup&gt;47&lt;/sup&gt;
- Detect unsafe fine-tuning data uploaded to a fine-tuning API,&lt;sup&gt;48&lt;/sup&gt; though note this measure is not sufficient&lt;sup&gt;49&lt;/sup&gt;
We also suggest modifying the recommendation "Stop development if a model displays significant misuse risk" in Appendix B to also include halting the development of comparably capable or more capable models.
For models with advanced cybersecurity capabilities, developers should consider sociotechnical measures beyond refusal training. Cybersecurity capabilities, such as zero-day vulnerability detection, can be powerful for both harmful and beneficial use cases, without a clear way to distinguish between them. Developers could partner with cybersecurity organizations to patch vulnerabilities in critical infrastructure and improve societal resilience to cyberattacks. Instead of
&lt;sup&gt;&amp;&lt;/sup&gt;lt;sup&gt;39&lt;/sup&gt; Ouyang et al. (2022) Training language models to follow instructions with human feedback. *arXiv*. &lt;a href="https://arxiv.org/abs/2203.02155"&gt;https://arxiv.org/abs/2203.02155&lt;/a&gt;.
&lt;sup&gt;&amp;&lt;/sup&gt;lt;sup&gt;40&lt;/sup&gt; Rafailov, Rafael et al. (2023) Direct Preference Optimization: Your Language Model is Secretly a Reward Model. *arXiv*. &lt;a href="https://arxiv.org/abs/2305.18290"&gt;https://arxiv.org/abs/2305.18290&lt;/a&gt;.
&lt;sup&gt;&amp;&lt;/sup&gt;lt;sup&gt;41&lt;/sup&gt; «Bai et al. (2022) Constitutional AI: Harmlessness from AI Feedback. *arXiv*. https://arxiv.org/abs/2212.08073.»
&lt;sup&gt;&amp;&lt;/sup&gt;lt;sup&gt;42&lt;/sup&gt; Ziegler et al. (2022) Adversarial Training for High-Stakes Reliability. *arXiv*. &lt;a href="https://arxiv.org/abs/2205.01663"&gt;https://arxiv.org/abs/2205.01663&lt;/a&gt;.
&lt;sup&gt;&amp;&lt;/sup&gt;lt;sup&gt;43&lt;/sup&gt; Mazeika, Mantas et al. (2024) HarmBench: A Standardized Evaluation Framework for Automated Red Teaming and Robust Refusal. *arXiv*. &lt;a href="https://arxiv.org/abs/2402.04249"&gt;http…</t>
  </si>
  <si>
    <t xml:space="preserve">1821d67e-31a3-5f14-98d6-836fee754335</t>
  </si>
  <si>
    <t xml:space="preserve">NIST-2024-0002-0022</t>
  </si>
  <si>
    <t xml:space="preserve">NIST/2024-17614/comments/comment_attachments/NIST-2024-0002-0022_1.md</t>
  </si>
  <si>
    <t xml:space="preserve">See generally Google AI Principles.</t>
  </si>
  <si>
    <t xml:space="preserve">[link] https://ai.google/responsibility/principles/</t>
  </si>
  <si>
    <t xml:space="preserve">We embed ethical risk management into Google products and services (e.g., Pixel devices, BARD, and Google Shopping) from the design stage.</t>
  </si>
  <si>
    <t xml:space="preserve">Internally, we use an AI risk-assessment framework (AI RAF) alongside a Product Maturity Model Assessment—stewarded by our Responsible Innovation and Responsible AI and Human-Centered Technology teams, which focus on the sociotechnical realization of our AI practices—to ensure that internal development and deployment practices are consistently aligned with our AI Principles and our broader compliance ecosystem, including the Civil and Human Rights Program.</t>
  </si>
  <si>
    <t xml:space="preserve">Outputs from these assessments are mapped to a prescriptive maturity model framework, which details clear actions developer teams can take to improve their machine learning (ML) models and advance from one maturity level to the next.</t>
  </si>
  <si>
    <t xml:space="preserve">…ons included with certain questions in the RFC (including this question) were removed for brevity's sake. The principal question prompts are included to aid in review of these comments.
"frontier models," &lt;sup&gt;15&lt;/sup&gt; which stand to pose novel risks, and incorporate safeguard measures from the start.
Google supports the use of **risk-based assessments** when developing or deploying AI systems. We embed ethical risk management into Google products and services (e.g., Pixel devices, BARD, and Google Shopping) from the design stage. ⟦Internally, we use an **AI risk-assessment framework (AI RAF)** alongside a Product Maturity Model Assessment—stewarded by our Responsible Innovation and Responsible AI and Human-Centered Technology teams, which focus on the sociotechnical realization of our AI practices—to ensure that internal development and deployment practices are consistently aligned with our AI Principles and our broader compliance ecosystem, including the Civil and Human Rights Program.⟧ &lt;sup&gt;16&lt;/sup&gt; Outputs from these assessments are mapped to a prescriptive maturity model framework, which details clear actions developer teams can take to improve their machine learning (ML) models and advance from one maturity level to the next. For organizations looking to integrate a practical assessment framework into their own development flows, the NIST AI RMF provides a critical, generally applicable mechanism for assessing and mitigating risk. &lt;sup&gt;17&lt;/sup&gt; We strongly support its broad adoption by both the public and private sectors.
Organizations and individuals that develop, deploy, and use AI systems should be able to demonstrate that their AI governance processes can effectively identify, manage, and mitigate risks appropriately (including system "breaks" or failures), particularly when the stakes are high (i.e., for applications that pose a material risk of significantly harming people or property or imperiling access to essential services).
**Audits** could assess the governance processes of AI developers and deployers based on the NIST AI RMF or another applicable standard. Any independently validated risk assessment or audit should be aligned to international, industry-accepted criteria to ensure consistency. 18 Further, independent auditors would need to be professionally qualified and entrusted to only
&lt;sup&gt;15&lt;/sup&gt; "Frontier models" are models that are "both (a) close to, or exceeding, the average capabilities of the most capable existing models, and (b) different from other models, either in terms of scale, design (e.g. different architectures or alignment techniques), or their resulting mix of capabilities and behaviours. Accordingly, frontier models are uniquely risky because (a) more capable models can excel at a wider range of tasks, which will unlock more opportunities to cause harm; and (b) novel models are less well-understood by the research community." Toby Shevlane et al., *Model [evaluation](https://arxiv.org/abs/2305.15324) for extreme risks* (May 24, [2023\).](https://arxiv.org/abs/2305.15324)
&lt;sup&gt;16&lt;/sup&gt; «*See generally* Google AI [Principles](https://ai.google/responsibility/principles/).»
&lt;sup&gt;17&lt;/sup&gt; Artificial Intelligence Risk [Management](https://nvlpubs.nist.gov/nistpubs/ai/NIST.AI.100-1.pdf) Framework (AI RMF 1.0), NIST, NIST AI 100-1 (Jan. 2023).
&lt;sup&gt;18&lt;/sup&gt; The International Association of Privacy Professionals recently announced its intent to create a professional certification for AI governance. J. Trevor Hughes and Mikko Niva, *IAPP AI [Governance](https://iapp.org…</t>
  </si>
  <si>
    <t xml:space="preserve">ea883368-da0a-5355-b85f-0bfdffcf45e5</t>
  </si>
  <si>
    <t xml:space="preserve">2 [https://github.com/openai/gpt-2/blob/master/model\_card.md](https://github.com/openai/gpt-2/blob/master/model_card.md)</t>
  </si>
  <si>
    <t xml:space="preserve">[link] https://github.com/openai/gpt-2/blob/master/model_card.md</t>
  </si>
  <si>
    <t xml:space="preserve">The government should seek to clearly label the AI systems it uses, and encourage creating standard ways to label the ingredients of AI systems in industry and academia.</t>
  </si>
  <si>
    <t xml:space="preserve">There are a variety of labeling schemes the government could use today; for example, Model Cards for Model Reporting is a popular labeling method that OpenAI adopted to accompany our recent 1 "GPT-2" language model code release. 2</t>
  </si>
  <si>
    <t xml:space="preserve">This Principle is also unclear about how the government knows when it has achieved public trust; what signals public trust?</t>
  </si>
  <si>
    <t xml:space="preserve">…nvolves relationships among constituents across sectors; public trust in AI necessitates that the public trust AI developers, that the public trust tools the government uses to regulate and oversee AI, and that the public trust how the government uses AI applications. We recommend supporting standard ways of describing the "ingredients" of AI systems similar to nutrition labels for food products. The government should seek to clearly label the AI systems it uses, and encourage creating standard ways to label the ingredients of AI systems in industry and academia. ⟦There are a variety of labeling schemes the government could use today; for example, *Model Cards for Model Reporting* is a popular labeling method that OpenAI adopted to accompany our recent 1 "GPT-2" language model code release. 2⟧
This Principle is also unclear about how the government knows when it has achieved public trust; what signals public trust? The government should clarify how it would measure and assess public trust.
&lt;sup&gt;1&lt;/sup&gt; Mitchell et al. Model Cards for Model Reporting. 2019. &lt;https://arxiv.org/pdf/1810.03993.pdf&gt;
&lt;sup&gt;2&lt;/sup&gt;  «[https://github.com/openai/gpt-2/blob/master/model\\_card.md](https://github.com/openai/gpt-2/blob/master/model_card.md)»
# *2. Public Participation*
It is crucial that public participation include industry and academia to bring in research expertise, and include people with diverse demographic backgrounds to address issues of fairness non-discrimination (Principle 7). Inclusion can help identify holes in regulation, especially which affect underrepresented groups.
Mediums for communication should be easily acces…</t>
  </si>
  <si>
    <t xml:space="preserve">bfc84e77-5f5f-50cc-b636-77861bdd5eb6</t>
  </si>
  <si>
    <t xml:space="preserve">OMB-2020-0003-0011</t>
  </si>
  <si>
    <t xml:space="preserve">OMB/2020-00261/comments/comment_attachments/OMB-2020-0003-0011_1.md</t>
  </si>
  <si>
    <t xml:space="preserve">NTIA recognized this possibility in the request for comment.32</t>
  </si>
  <si>
    <t xml:space="preserve">[footnote] NTIA recognized this possibility in the request for comment. See AI Accountability Policy Request for Comment, 88 Fed. Reg. at 22,438 ("In some contexts, not deploying AI systems at all wil be the means to achieve the stated goals.").</t>
  </si>
  <si>
    <t xml:space="preserve">Many of these will be thin and self-serving, and all of them will further complicate the ability of the average person to understand or trust AI systems.</t>
  </si>
  <si>
    <t xml:space="preserve">Second, focusing on bias-correction sidesteps a more fundamental question of whether an AI system should be deployed at all, as even perfectly accurate systems can produce biased (in the colloquial sense) or discriminatory outcomes.</t>
  </si>
  <si>
    <t xml:space="preserve">As Professor Solow-Niederman has argued, there is a difference between AI systems that have a discriminatory effect on individuals even when developed and trained with representative data (e.g., emotion-recognition technologies) and those systems which have the potential for discriminatory effects when trained on non-diverse datasets or otherwise fail to follow best practices in development.</t>
  </si>
  <si>
    <t xml:space="preserve">…d topic. It is easy to say that AI systems should not be biased; it is very difficult to find consensus on what that means and how to approach that goal. As Professor Solow-Niederman has identified, "the very choice of a mathematical definition of 'fairness' is a political one."&lt;sup&gt;31&lt;/sup&gt; Leaving industry actors to define bias on an individual basis will result in myriad competing definitions. Many of these will be thin and self-serving, and all of them will further
&lt;sup&gt;25&lt;/sup&gt; *Id.* at 982.
&lt;sup&gt;26&lt;/sup&gt; *See id.*
&lt;sup&gt;27&lt;/sup&gt; *Id.* at 982.
&lt;sup&gt;28&lt;/sup&gt; Alicia Solow-Niederman, *Algorithmic Grey Holes*, 5 J. L. &amp; INNOVATION 116, 118 (2023).
&lt;sup&gt;29&lt;/sup&gt; *See, e.g.*, Joy Buolamwini &amp; Timnit Gebru, *Gender Shades: Intersectional Accuracy Disparities in Commercial Gender Classification*, 81 PROC. MACH. LEARNING RSCH. (2018).
&lt;sup&gt;30&lt;/sup&gt; Alicia Solow-Niederman, *Information Privacy and the Inference Economy*, 117 NW. U. L. REV. 357, 420 (2022) (citing Andrew Smith, *Using Artificial Intelligence and Algorithms*, FED. TRADE COMM'N (Apr. 8, 2020), https://www.ftc.gov/news-events/blogs/business-blog/2020/04/using-artificial-intelligence-algorithms (quoting 12 C.F.R. § 1002.2 (2018) (Regulation B))).
&lt;sup&gt;31&lt;/sup&gt; *Id.* (citing Arvind Narayanan, *Tutorial: 21 Fairness Definitions and Their Politics*, YOUTUBE (Mar. 1, 2018), https://www.youtube.com/watch?v=jIXIuYdnyyk).
complicate the ability of the average person to understand or trust AI systems. ⟦Second, focusing on bias-correction sidesteps a more fundamental question of whether an AI system should be deployed at all, as even perfectly accurate systems can produce biased (in the colloquial sense) or discriminatory outcomes.&lt;sup&gt;32&lt;/sup&gt;⟧ As Professor Solow-Niederman has argued, there is a difference between AI systems that have a discriminatory effect on individuals even when developed and trained with representative data (e.g., emotion-recognition technologies) and those systems which have the potential for discriminatory effects when trained on non-diverse datasets or otherwise fail to follow best practices in development.&lt;sup&gt;33&lt;/sup&gt; While the latter might only require standards and safeguards that guide development, the former are better suited for bright-line rules and bans.&lt;sup&gt;34&lt;/sup&gt;
*Ethics.* Incorporating ethics-focused self-scrutiny into organizational culture through things like research on bias mitigation, dedicated ethics boards, and documented ethics goals sounds like accountability in the abstract—ethics should certainly be front of mind for companies that design or deploy AI systems. But AI ethics become AI half-measures where these commitments to ethics are commitments in name only. If there is no way to hold companies accountable for failure to align with established ethics, either because their statements are too vague in substance or because ethics boards hold no decision-making power, then ethics are operating as an AI half-measure.&lt;sup&gt;35&lt;/sup&gt; These problems are compounded when there is little transparency as to how these companies are defining ethics and who is making those decisions, and when ethics can be defined in self-serving ways (such as forbidding practices a particular firm does not engage in, while turning a blind eye to its own practices that are dubious but profitable).&lt;sup&gt;36&lt;/sup&gt; There is also little to suggest that adopting such principles stops companies from developing AI systems that contribute to unethical causes.&lt;sup&gt;37&lt;/sup&gt;
\* \* \*
&lt;sup&gt;32&lt;/sup&gt; «NTIA recognized this possibility in the request for comment.» *See* AI Accountability Policy Request for Comment, 88 Fed. Reg. at 22,438 ("In some contexts, *not* deploying AI systems at all wil be the means to achieve the stated goals.").
&lt;sup&gt;33&lt;/sup&gt; Solow-Niederman, *supra* note [30,](#page-5-0) at 419.
&lt;sup&gt;34&lt;/sup&gt; *Id.* 419–20.
&lt;sup&gt;35&lt;/sup&gt; James Vincent, *The Problem with AI Ethics*, VERGE (Apr. 3, 2019, 10:47 AM)
https://www.theverge.com/2019/…</t>
  </si>
  <si>
    <t xml:space="preserve">487ad0d7-25e7-5808-b5e3-6a4cbaa4fa93</t>
  </si>
  <si>
    <t xml:space="preserve">NTIA-2023-0005-1291</t>
  </si>
  <si>
    <t xml:space="preserve">NTIA/2023-07776/comments/comment_attachments/NTIA-2023-0005-1291_1.md</t>
  </si>
  <si>
    <t xml:space="preserve">excluded_duplicate</t>
  </si>
  <si>
    <t xml:space="preserve">The IPTC and PLUS Coalition have both campaigned on this issue for more than ten years: see the [Embedded Metadata Manifesto](https://www.embeddedmetadata.org/embedded-metatdata-manifesto.php) which we created in 2011.</t>
  </si>
  <si>
    <t xml:space="preserve">[link] https://www.embeddedmetadata.org/embedded-metatdata-manifesto.php</t>
  </si>
  <si>
    <t xml:space="preserve">However, an opt-out-based approach does not currently protect owners' rights, due to the common practice of "metadata stripping."</t>
  </si>
  <si>
    <t xml:space="preserve">This is an activity, built into many publisher workflows and social media platforms, that removes metadata embedded in media files, even critical rights and accessibility based information, in the misguided belief that it will improve site performance .</t>
  </si>
  <si>
    <t xml:space="preserve">Even though Google recommends against it [Google-Metadatastripping], metadata stripping is routinely performed by many publishers and publishing systems, often inadvertently.</t>
  </si>
  <si>
    <t xml:space="preserve">This is an activity, built into many publisher workflows and social media platforms, that removes metadata embedded in media files, even critical rights and accessibility based information, in the misguided belief that it will improve site performance1 .</t>
  </si>
  <si>
    <t xml:space="preserve">… government includes item-specific opt-in using embedded media metadata formats such as the IPTC Photo Metadata Standard and the PLUS License Data Format.
It is true that our technical solutions would also be relevant if the US government chooses to implement an "opt-out" approach; a broad data mining exception with a provision for content owners to reserve their rights through electronic means. However, an opt-out-based approach does not currently protect owners' rights, due to the common practice of "metadata stripping." ⟦This is an activity, built into many publisher workflows and social media platforms, that removes metadata embedded in media files, even critical rights and accessibility based information, in the misguided belief that it will improve site performance&lt;sup&gt;1&lt;/sup&gt; .⟧ Even though Google recommends against it [Google-Metadatastripping], metadata stripping is routinely performed by many publishers and publishing systems, often inadvertently. Due to this practice, the absence of an opt-out directive in an image's metadata section should not be understood as equivalent to an opt-in. We can only recommend that the US government adopts an opt-in approach.
# Introduction
Image creators, copyright owners, distributors, and publishers ("stakeholders") approached IPTC and PLUS with concerns about their images being used in AI training data. Stakeholders were frustrated that their images were being mined for AI training and generative purposes
&lt;sup&gt;1&lt;/sup&gt; see the IPTC study "[Rights Information and Social Media Networks"](https://www.embeddedmetadata.org/social-media-test-results.php) for detailed information on which platforms strip embedded metadata from uploaded image and video files. «The IPTC and PLUS Coalition have both campaigned on this issue for more than ten years: see the [Embedded Metadata Manifesto](https://www.embeddedmetadata.org/embedded-metatdata-manifesto.php) which we created in 2011.»
without their knowledge or authorisation, simply because those images were accessible on the internet.
The opt-out solutions proposed by AI providers, such as robots.txt directives or manual web forms, were not suitable to these stakeholders: image creators often do not have access to web servers to be able to create or edit robots.txt files. Image creators also want their rights requirements t…</t>
  </si>
  <si>
    <t xml:space="preserve">0b5593f7-0295-5c14-8e85-52fbd6989fec</t>
  </si>
  <si>
    <t xml:space="preserve">IPTC-AI-RFI-2025</t>
  </si>
  <si>
    <t xml:space="preserve">NSF/2025-02305/comments/comment_attachments/IPTC-AI-RFI-2025_1.md</t>
  </si>
  <si>
    <t xml:space="preserve">CIPL Response to the EU Commission's Consultation on the Draft AI Act, submitted July 29, 2021, available [here.](https://www.informationpolicycentre.com/uploads/5/7/1/0/57104281/cipl_response_to_the_consultation_on_the_draft_ai_act__29_july_2021_.pdf)</t>
  </si>
  <si>
    <t xml:space="preserve">[reference] CIPL Response to the EU Commission's Consultation on the Draft AI Act, submitted July 29, 2021, available [here.](https://www.informationpolicycentre.com/uploads/5/7/1/0/57104281/cipl_response_to_the_consultation_on_the_draft_ai_act__29_july_2021_.pdf)
[link] https://www.informationpolicycentre.com/uploads/5/7/1/0/57104281/cipl_response_to_the_consultation_on_the_draft_ai_act__29_july_2021_.pdf</t>
  </si>
  <si>
    <t xml:space="preserve">In September 2022, CIPL submitted a response to the UK Department for Digital, Culture, Media &amp; Sport on its Consultation on establishing a pro-innovation approach to regulating AI.10</t>
  </si>
  <si>
    <t xml:space="preserve">In July 2021, CIPL submitted a response to the European Commission's Consultation on the Draft Artificial Intelligence Act.</t>
  </si>
  <si>
    <t xml:space="preserve">In March 2021, CIPL published a paper on delivering a risk-based approach to regulating artificial intelligence.</t>
  </si>
  <si>
    <t xml:space="preserve">In July 2021, CIPL submitted a response to the European Commission's Consultation on the Draft Artificial Intelligence Act.[11]</t>
  </si>
  <si>
    <t xml:space="preserve">…Picture_0.jpeg)
- In November 2022, CIPL filed comments on the Federal Trade Commission's Advanced Notice of Proposed Rulemaking on commercial surveillance and data security, which addressed, among other things, artificial intelligence.[8](#page-2-0)
- In October 2022, CIPL published a white paper outlining ten key recommendations for regulating artificial intelligence in Brazil.[9](#page-2-1)
- In September 2022, CIPL submitted a response to the UK Department for Digital, Culture, Media &amp; Sport on its Consultation on establishing a pro-innovation approach to regulating AI[.10](#page-2-2)
- ⟦In July 2021, CIPL submitted a response to the European Commission's Consultation on the Draft Artificial Intelligence Act.⟧[11](#page-2-3)
- In March 2021, CIPL published a paper on delivering a risk-based approach to regulating artificial intelligence.[12](#page-2-4)
- In March 2020, CIPL submitted formal comments to the Office of the Privacy Commissioner of Canada in response to its proposals for ensuring appropriate regulation of artificial intelligence.[13](#page-2-5)
- Also in March 2020, CIPL published a paper exploring the various ways in which the EU General Data Protection Regulation regulates the development and use of artificial intelligence by organizations processing personal data.[14](#page-2-6)
- In February 2020, CIPL published a report that provides insights into emerging solutions for delivering trusted and responsible AI.[15](#page-2-7)
- In January 2019, CIPL submitted formal comments to the International Conference of Data Protection and Privacy Commissioners on its Declaration on Ethics and Data Protection in Artificial Intelligence.[16](#page-2-8)
- In November 2018, CIPL published its first report on AI, which describes AI's capabilities as well as AI's challenges to compliance with traditional data protection laws and norms.[17](#page-2-9)
&lt;span id="page-2-0"&gt;&lt;/span&gt;&lt;sup&gt;8&lt;/sup&gt; CIPL Comments on the FTC's ANPR on Commercial Surveillance and Data Security, submitted Nov. 21, 2022, availabl[e here.](https://www.informationpolicycentre.com/uploads/5/7/1/0/57104281/cipl_comments_on_the_ftc%E2%80%99s_anpr_on_commercial_surveillance_and_data_security__21_nov_2022_.pdf)
&lt;span id="page-2-1"&gt;&lt;/span&gt;&lt;sup&gt;9&lt;/sup&gt; CIPL's Top Ten Recommendations for Regulating AI in Brazil, published October 4, 2022, availabl[e here.](https://www.informationpolicycentre.com/uploads/5/7/1/0/57104281/%5ben%5d_cipls_top_ten_recommendations_for_regulating_ai_in_brazil__4_october_2022_.pdf)
&lt;span id="page-2-2"&gt;&lt;/span&gt;&lt;sup&gt;10&lt;/sup&gt; CIPL Response to UK Department for Digital, Culture, Media and Sport (DCMS) Policy Paper on Establishing a Pro-innovation Approach to Regulating AI, submitted Sept. 23, 2022, availabl[e here.](https://www.informationpolicycentre.com/uploads/5/7/1/0/57104281/cipl_response_to_uk_dcms_proposed_approach_to_regulating_ai_23_09_22.pdf) 
&lt;span id="page-2-3"&gt;&lt;/span&gt;&lt;sup&gt;11&lt;/sup&gt; «CIPL Response to the EU Commission's Consultation on the Draft AI Act, submitted July 29, 2021, available [here.](https://www.informationpolicycentre.com/uploads/5/7/1/0/57104281/cipl_response_to_the_consultation_on_the_draft_ai_act__29_july_2021_.pdf)»
&lt;span id="page-2-4"&gt;&lt;/span&gt;&lt;sup&gt;12&lt;/sup&gt; CIPL Recommendations on Adopting a Risk-Based Approach to Regulating Artificial Intelligence in the EU, published March 22, 2021, available [here.](https://www.informationpolicycentre.com/uploads/5/7/1/0/57104281/cipl_risk-based_approach_to_regulating_ai__22_march_2021_.pdf) 
&lt;span id="page-2-5"&gt;&lt;/span&gt;&lt;sup&gt;13&lt;/sup&gt; CIPL Comments on the Office of the Pri…</t>
  </si>
  <si>
    <t xml:space="preserve">c8a76a6b-00ea-58b0-a999-0584e336bc76</t>
  </si>
  <si>
    <t xml:space="preserve">NIST-2023-0009-0044</t>
  </si>
  <si>
    <t xml:space="preserve">NIST/2023-28232/comments/comment_attachments/NIST-2023-0009-0044_1.md</t>
  </si>
  <si>
    <t xml:space="preserve">1 Bryan Clark and Dan Pratt, Hudson Institute, "Weaponizing the 5G Value Chain," [https://s3.amazonaws.com/media.hudson.org/Clark%20Patt\_Weaponizing%20the%205G%20Value%20](https://s3.amazonaws.com/media.hudson.org/Clark%20Patt_Weaponizing%20the%205G%20Value%20Chain.pdf) [Chain.pdf.](https://s3.amazonaws.com/media.hudson.org/Clark%20Patt_Weaponizing%20the%205G%20Value%20Chain.pdf)</t>
  </si>
  <si>
    <t xml:space="preserve">[footnote] Bryan Clark and Dan Pratt, Hudson Institute, "Weaponizing the 5G Value Chain," [https://s3.amazonaws.com/media.hudson.org/Clark%20Patt\_Weaponizing%20the%205G%20Value%20](https://s3.amazonaws.com/media.hudson.org/Clark%20Patt_Weaponizing%20the%205G%20Value%20Chain.pdf) [Chain.pdf.](https://s3.amazonaws.com/media.hudson.org/Clark%20Patt_Weaponizing%20the%205G%20Value%20Chain.pdf)
[link] https://s3.amazonaws.com/media.hudson.org/Clark%20Patt\_Weaponizing%20the%205G%20Value%20</t>
  </si>
  <si>
    <t xml:space="preserve">The World Economic Forum estimates that by 2030, nearly \$1 trillion globally will be devoted to 5G deployment.</t>
  </si>
  <si>
    <t xml:space="preserve">Experts project that small investments by the U.S. government to develop a domestic ecosystem could lead to returns on investment of at least \$280 billion.</t>
  </si>
  <si>
    <t xml:space="preserve">The Biden Administration is already evaluating similar approaches to develop secure and resilient domestic supply chains in areas such as microelectronics, large capacity batteries, pharmaceutical ingredients, and critical minerals and materials.</t>
  </si>
  <si>
    <t xml:space="preserve">Experts project that small investments by the U.S. government to develop a domestic ecosystem could lead to returns on investment of at least $280 billion.[1]</t>
  </si>
  <si>
    <t xml:space="preserve">… price and production swings and is a critical national security concern.** A 5G Rapid Development Consortium would help bring the United States back to the helm of global leadership in advanced telecommunications, guarantee the security of future networks, and ensure standards are set to our values.
![](_page_0_Picture_4.jpeg)
![](_page_0_Figure_5.jpeg)
Source: Bryan Clark and Dan Pratt, the
The World Economic Forum estimates that by 2030, nearly \$1 trillion globally will be devoted to 5G deployment. ⟦Experts project that small investments by the U.S. government to develop a domestic ecosystem could lead to returns on investment of at least \$280 billion.⟧[1](#page-1-0) The Biden Administration is alread[y evaluating](https://www.whitehouse.gov/wp-content/uploads/2021/06/100-day-supply-chain-review-report.pdf) similar approaches to develop secure and resilient domestic supply chains in areas such as microelectronics, large capacity batteries, pharmaceutical ingredients, and critical minerals and materials.
**Proposal**: The Office of the Under Secretary of Defense for Acquisition and Sustainment (OUSD(A&amp;S)), US Ignite, Dell, and a number of key U.S.-based companies in the wireless industry are proposing to form a **5G Rapid Deployment Consortium**. The consortium would support a comprehensive effort to develop, validate, and deploy new technologies and systems to enable open and interoperable networks that will not be dependent on any one vendor, such as Huawei, and nurture a globally competitive domestic wireless equipment manufacturing industry. The consortium would be structured around three pillars:
- **Strategy and Oversight:** To help steer program goals, the consortium will include a board of DoD service branches and civilian agencies with industry leaders, telecom operators, and universities to ensure new technologies are responsive to both federal government and customer needs.
- **Execution:** Multiple technology teams will collaborate to deliver a broad range of 5G systems enabled by Open Radio Access Network (Open RAN) technologies. These teams will consist of multiple companies to ensure a vendor- and technology-neutral approach that will allow for interoperable systems.
- **Integration and Validation:** The consortium will leverage existing 5G testbeds to ensure that new systems developed meet the needs of DoD and other customers.
This effort will ultimately reduce wireless costs for DoD and the private sector, develop new domestic alternatives for Huawei, and strengthen U.S. national security and global competitiveness. Funding for the consortium would go to support applied R&amp;D, manufacturing, and other key needs to allow for the rapid deployment of critical 5G technologies. A breakdown of cost estimates can be found below:
## **PROGRAM GOALS**
There is only a short window of opportunity to support domestic 5G firms, creating a clear need for quickly launching a 5G Rapid Deployment Consortium. There are dozens of domestic vendors that are leveraging next-generation wireless technologies of Open Radio Access Networks (O-RAN) and other emerging technologies to serve US carriers today. Many are focused on creating virtualized networks that rely on commodity hardware and open software to ensure 5G networks are not dominated by foreign sources. However, these domestic vendors need
| Technology&lt;br&gt;Maturity      | Total Funding&lt;br&gt;Range&lt;br&gt;(annual) | Funds per&lt;br&gt;Awardee (count) |
|-----------------------------|------------------------------------|------------------------------|
| Applied R&amp;D                 | \$75M-125M                         | \$3-10M&lt;br&gt;(4-10 awardees)   |
| Manufacturing&lt;br&gt;Support    | \$50M-75M                          | \$10-15M&lt;br&gt;(5-7 awardees)   |
| Acquisition/&lt;br&gt;Sustainment | \$100M-150M                        | \$15-25M&lt;br&gt;(7-10 awardees)  |
| Deployment                  | \$75M-150M                         | \$25-50M&lt;br&gt;(2-3 awardees)   |
| Total                       | \$300M-500M                        | 18-30 awardees               |
support for manufacturing scale-up and hardening of their wireless solutions to ensure products qualify as "carrier-grade." The 5G Rapid Development Consortium could provide much of this support including helping domestic vendors to:
&lt;span id="page-1-0"&gt;&lt;/span&gt;&lt;sup&gt;1&lt;/sup&gt; «Bryan Clark and Dan Pratt, Hudson Institute, "Weaponizing the 5G Value Chain," [https://s3.amazonaws.com/media.hudson.org/Clark%20Patt\\_Weaponizing%20the%205G%20Value%20](https://s3.amazonaws.com/media.hudson.org/Clark%20Patt_Weaponizing%20the%205G%20Value%20Chain.pdf) [Chain.pdf.](https://s3.amazonaws.com/media.hudson.org/Clark%20Patt_Weaponizing%20the%205G%20Value%20Chain.pdf)»
- **Commercialize domestic wireless R&amp;D technologies for deployment in carrier and DoD networks**. This should also provide funds to access National Science Foundation (NSF), DoD, or other 5G testbeds to evaluate prototypes in real-world environments.
- **Ensure wireless networking equipment manufacturing meets standards for carrier-grade production**. This program would ensure small- and mid-si…</t>
  </si>
  <si>
    <t xml:space="preserve">43bd0d2e-66ce-5a16-82b0-cce17f26acef</t>
  </si>
  <si>
    <t xml:space="preserve">NIST-2021-0007-0031</t>
  </si>
  <si>
    <t xml:space="preserve">NIST/2021-25428/comments/comment_attachments/NIST-2021-0007-0031_1.md</t>
  </si>
  <si>
    <t xml:space="preserve">5 [https://cloud.google.com/explainable-ai.](https://cloud.google.com/explainable-ai)</t>
  </si>
  <si>
    <t xml:space="preserve">[footnote] [https://cloud.google.com/explainable-ai.](https://cloud.google.com/explainable-ai)
[link] https://cloud.google.com/explainable-ai.</t>
  </si>
  <si>
    <t xml:space="preserve">Google Cloud has also created commercial tools that enable enterprise organizations to incorporate these practices into their own AI applications.</t>
  </si>
  <si>
    <t xml:space="preserve">For example, we have introduced tools like Explainable AI to help our customers better test and understand the outputs of their models.</t>
  </si>
  <si>
    <t xml:space="preserve">5 Additionally, we have invested in scaling frameworks like Model Cards to increase 6 transparency and comprehension around the proper use and limitations of AI models.</t>
  </si>
  <si>
    <t xml:space="preserve">For example, we have introduced tools like [Explainable](https://cloud.google.com/explainable-ai) AI to help our customers better test and understand the outputs of their models. 5</t>
  </si>
  <si>
    <t xml:space="preserve">… use of AI applications developed outside of Google. We believe that all organizations creating AI tools should adopt guiding principles and robust internal review processes. That is why we regularly share our [recommended](https://ai.google/responsibilities/responsible-ai-practices/) responsible AI practices with 4 the broader AI community, other companies, nonprofit organizations, and academia. Google Cloud has also created commercial tools that enable enterprise organizations to incorporate these practices into their own AI applications. ⟦For example, we have introduced tools like [Explainable](https://cloud.google.com/explainable-ai) AI to help our customers better test and understand the outputs of their models.⟧ 5 Additionally, we have invested in scaling frameworks like [Model](https://modelcards.withgoogle.com/about) Cards to increase 6 transparency and comprehension around the proper use and limitations of AI models.
What's more, we've worked closely with governments and civil society stakeholders around the world to seize opportunities and address challenges related to AI. This includes stakeholders at all levels of government here in the United States. Google has provided
&lt;sup&gt;3&lt;/sup&gt; &lt;https://ai.google/principles/&gt;.
&lt;sup&gt;4&lt;/sup&gt; &lt;https://ai.google/responsibilities/responsible-ai-practices/&gt;.
&lt;sup&gt;5&lt;/sup&gt; «[https://cloud.google.com/explainable-ai.](https://cloud.google.com/explainable-ai)»
&lt;sup&gt;6&lt;/sup&gt; [https://modelcards.withgoogle.com/about.](https://modelcards.withgoogle.com/about)
technical expertise about AI, insight into responsible approaches to AI, and advice on how to turn AI ethical principles into practice.
#### **The Role of Regulation**
As our CEO Sundar Pichai [wrote](https://www.ft.com/content/3467659a-386d-11ea-ac3c-f68c10993b04) recently, smart government appro…</t>
  </si>
  <si>
    <t xml:space="preserve">0bf2c387-77fc-52e8-b4a3-ae3f10c37ac9</t>
  </si>
  <si>
    <t xml:space="preserve">OMB-2020-0003-0053</t>
  </si>
  <si>
    <t xml:space="preserve">OMB/2020-00261/comments/comment_attachments/OMB-2020-0003-0053_1.md</t>
  </si>
  <si>
    <t xml:space="preserve">NIST's AI Risk Management Framework: https://www.nist.gov/itl/ai-risk-management-framework</t>
  </si>
  <si>
    <t xml:space="preserve">[link] https://www.nist.gov/itl/ai-risk-management-framework</t>
  </si>
  <si>
    <t xml:space="preserve">Agencies impacting healthcare must responsibly leverage generative AI tools for these purposes.</t>
  </si>
  <si>
    <t xml:space="preserve">Generative AI will also be critical in accomplishing the transition to value-based care (the shift from a quantity-based system to one that focuses on quality).</t>
  </si>
  <si>
    <t xml:space="preserve">NIST's AI Risk Management Framework: https://www.nist.gov/itl/ai-riskmanagement-framework</t>
  </si>
  <si>
    <t xml:space="preserve">Generative AI will also be critical in accomplishing the transition to value-based care (the shift from a quantity-based system to one that focuses on quality).8</t>
  </si>
  <si>
    <t xml:space="preserve">… solutions); and augmented research capabilities. Healthcare is no exception: generative AI offers the possibility of introducing new efficiencies at numerous levels, from backend/administrative to supporting key assessments/decisions made by humans in, for example, improving workflow, conducting better clinical trials, and supporting clinical decisions, amongst many other use cases. &lt;sup&gt;7&lt;/sup&gt; Agencies impacting healthcare must responsibly leverage generative AI tools for these purposes. ⟦Generative AI will also be critical in accomplishing the
&lt;sup&gt;6&lt;/sup&gt; Connected Health Initiative, *Policy Principles for Artificial Intelligence in Health*, accessible at [https://connectedhi.com/wp-content/uploads/2022/02/Policy-Principles-for-AI.pdf.](https://connectedhi.com/wp-content/uploads/2022/02/Policy-Principles-for-AI.pdf)
&lt;sup&gt;7&lt;/sup&gt; Shoja MM, Van de Ridder JMM, Rajput V. The Emerging Role of Generative Artificial Intelligence in Medical Education, Research, and Practice. Cureus. 2023 Jun 24;15(6):e40883. doi: 10.7759/cureus.40883. PMID: 37492829; PMCID: PMC10363933.
transition to value-based care (the shift from a quantity-based system to one that focuses on quality).&lt;sup&gt;8&lt;/sup&gt;⟧
### *Question 5: Are there use cases for presumed safety-impacting and rightsimpacting AI (Section 5 (b)) that should be included, removed, or revised? If so, why?*
CHI believes that memorandum's definitions alone should provide the agencies with the direction they need to address what is and is not "safety-impacting" or "civil rightsimpacting" consistent with the need for agency flexibilities acknowledged elsewhere in the memorandum. A static list will be seen as inappropriately including some use cases or not including others, and the nature of the development of AI means that such a list will quickly become outdated. We therefore recommend that OMB remove its list of "safety-impacting" or "civil rights-impacting" use cases from the memorandum.
*Question 6: Do the minimum practices identified for safety-impacting and rights-impacting AI set an appropriate baseline that is applicable across all agencies and all such uses of AI? How can the minimum practices be improved, recognizing that agencies will need to apply context-specific risk mitigations in addition to what is listed?* 
Yes, the minimum practices identified for safety and rights impacting AI are generally consistent with the Connected Health Initiative's recommended approach to health AI risk management. We urge OMB, and all federal agencies, to be mindful of the negative impacts of imposing such requirements on AI use cases that may not always be high risk. Again, we urge OMB to update its memo to emphasize that federal agencies leverage a scaled and outcome-focused approach to AI risk management, which we discuss above and in our foundational AI policy principles. OMB's memo should align with CHI's policy principles for AI, as well as approaches being taken in the NIST AI RMF and leading standards such as ISO/IEC 23894:2023.
*Question 7: What types of materials or resources would be most valuable to help agencies, as appropriate, incorporate the requirements and recommendations of this memorandum into relevant contracts?*
We recommend that OMB align its memorandum with the following:
- Connected Health Initiative's *Policy Principles for Artificial Intelligence in Health:* &lt;https://connectedhi.com/wp-content/uploads/2022/02/Policy-Principles-for-AI.pdf&gt;
- Connected Health Initiative's *Advancing Transparency for Artificial Intelligence in the Healthcare Ecosystem*: [https://connectedhi.com/wp-](https://connectedhi.com/wp-content/uploads/2022/02/AdvancingTransparencyforArtificialIntelligenceintheHealthcareEcosystem.pdf)
&lt;sup&gt;8&lt;/sup&gt; Connected Health Initiative, *Leveraging Digital Health to Realize Value-Based Care*, accessible at [https://connectedhi.com/wp-content/uploads/2022/02/LeveragingDigitalHealth.pdf.](https://connectedhi.com/wp-content/uploads/2022/02/LeveragingDigitalHealth.pdf)
[content/uploads/2022/02/AdvancingTransparencyforArtificialIntelligenceintheHeal](https://connectedhi.com/wp-content/uploads/2022/02/AdvancingTransparencyforArtificialIntelligenceintheHealthcareEcosystem.pdf) [thcareEcosystem.pdf](https://connectedhi.com/wp-content/uploads/2022/02/AdvancingTransparencyforArtificialIntelligenceintheHealthcareEcosystem.pdf)
- Connected Health Initiative's *Good Machine Learning Best Practices*: [https://connectedhi.com/wp](https://connectedhi.com/wp-content/uploads/2022/04/CHIAITaskForceGMLPs.pdf)[content/uploads/2022/04/CHIAITaskForceGMLPs.pdf.](https://connectedhi.com/wp-content/uploads/2022/04/CHIAITaskForceGMLPs.pdf)
- «NIST's AI Risk Management Framework: [https://www.nist.gov/itl/ai-risk](https://www.nist.gov/itl/ai-risk-management-framework)[management-framework](https://www.nist.gov/itl/ai-risk-management-framework)»
- ISO/IEC 23894:2023 (Information technology, Artificial intelligence, Guidance on risk management):&lt;https://www.iso.org/standard/77304.html&gt;
### *Question 8: What kind of information should be made public about agencies' use of AI in their annual use case inventory?*
CHI welcomes the memorandum's requirement that agencies provide adequately detailed and generally accessible documentation for t…</t>
  </si>
  <si>
    <t xml:space="preserve">5498fca6-8254-58eb-a475-4d980af9c745</t>
  </si>
  <si>
    <t xml:space="preserve">OMB-2023-0020-0154</t>
  </si>
  <si>
    <t xml:space="preserve">OMB/2023-24269/comments/comment_attachments/OMB-2023-0020-0154_1.md</t>
  </si>
  <si>
    <t xml:space="preserve">13 Paul Scharre, "Future-Proofing Frontier AI Regulation" (Center for a New American Security, March 2024), [https://www.cnas.org/publications/reports/future-proofing-frontier-ai-regulation.](https://www.cnas.org/publications/reports/future-proofing-frontier-ai-regulation)</t>
  </si>
  <si>
    <t xml:space="preserve">[footnote] Paul Scharre, "Future-Proofing Frontier AI Regulation" (Center for a New American Security, March 2024), https://www.cnas.org/publications/reports/future-proofing-frontier-ai-regulation.
[link] https://www.cnas.org/publications/reports/future-proofing-frontier-ai-regulation.</t>
  </si>
  <si>
    <t xml:space="preserve">Increased spending on training has been the largest driver of progress in cutting-edge AI capabilities.</t>
  </si>
  <si>
    <t xml:space="preserve">If current spending trends continue, the cost for training models will exceed \$1 billion within a few years.</t>
  </si>
  <si>
    <t xml:space="preserve">As a result, several labs may no longer be able to afford training near the AI frontier, especially if releasing their model weights reduces potential monetization.</t>
  </si>
  <si>
    <t xml:space="preserve">Increased spending on training has been the largest driver of progress in cutting-edge AI capabilities.12 If current spending trends continue, the cost for training models will exceed $1 billion within a few years.13</t>
  </si>
  <si>
    <t xml:space="preserve">…dable models.&lt;sup&gt;11&lt;/sup&gt;
Nonetheless, developers of downloadable models will face growing challenges in keeping pace with the AI frontier, potentially increasing the lag time to deploy comparably performing, downloadable models. These challenges include growing costs, secrecy around model algorithms and training, limits to the current data regime, and increased competition.
# *Growing costs*
Increased spending on training has been the largest driver of progress in cutting-edge AI capabilities.&lt;sup&gt;12&lt;/sup&gt; ⟦If current spending trends continue, the cost for training models will exceed \$1 billion within a few years.&lt;sup&gt;13&lt;/sup&gt;⟧ As a result, several labs may no longer be able to afford training near the AI frontier, especially if releasing their model weights reduces potential monetization.
&lt;sup&gt;13&lt;/sup&gt; «Paul Scharre, "Future-Proofing Frontier AI Regulation" (Center for a New American Security, March 2024), [https://www.cnas.org/publications/reports/future-proofing-frontier-ai-regulation.](https://www.cnas.org/publications/reports/future-proofing-frontier-ai-regulation)»
![](_page_2_Picture_14.jpeg)
&lt;sup&gt;7&lt;/sup&gt; Khari Johnson, "OpenAI Debuts DALL-E for Generating Images from Text," VentureBeat, January 5, 2021, [https://venturebeat.com/business/openai-debuts-dall-e-for-generating-images-from-text/.](https://venturebeat.com/business/openai-debuts-dall-e-for-generating-images-from-text/)
&lt;sup&gt;8&lt;/sup&gt; "MS COCO Benchmark (Text-to-Image Generation)," Papers with Co…</t>
  </si>
  <si>
    <t xml:space="preserve">cecfe9b9-1113-587f-aab2-dfeab27a68d5</t>
  </si>
  <si>
    <t xml:space="preserve">NTIA-2023-0009-0258</t>
  </si>
  <si>
    <t xml:space="preserve">NTIA/2024-03763/comments/comment_attachments/NTIA-2023-0009-0258_1.md</t>
  </si>
  <si>
    <t xml:space="preserve">3 Mohammad Bavarian et al., "New GPT-3 Capabilities: Edit &amp; Insert," OpenAI, March 15, 2022, [https://openai.com/blog/gpt-3-edit-insert.](https://openai.com/blog/gpt-3-edit-insert) These GPT-3 davinci-002 models were subsequently categorized as 'GPT-3.5' models: "Azure OpenAI Service Deprecated Models," Microsoft Learn, February 26, 2024, [https://learn.microsoft.com/en-us/azure/ai-services/openai/concepts/legacy-models.](https://learn.microsoft.com/en-us/azure/ai-services/openai/concepts/legacy-models)</t>
  </si>
  <si>
    <t xml:space="preserve">[footnote] Mohammad Bavarian et al., "New GPT-3 Capabilities: Edit &amp; Insert," OpenAI, March 15, 2022, https://openai.com/blog/gpt-3-edit-insert. These GPT-3 davinci-002 models were subsequently categorized as 'GPT-3.5' models: "Azure OpenAI Service Deprecated Models," Microsoft Learn, February 26, 2024, https://learn.microsoft.com/en-us/azure/ai-services/openai/concepts/legacy-models.
[link] https://learn.microsoft.com/en-us/azure/ai-services/openai/concepts/legacy-models</t>
  </si>
  <si>
    <t xml:space="preserve">GPT-3 was released in June 2020, and Meta's OPT-175B was released in May 2022 for a lag of 23 months.</t>
  </si>
  <si>
    <t xml:space="preserve">GPT-3.5 was released in March 2022, and Meta's Llama 2 was released in July 2023 for a lag of 16 months. 4</t>
  </si>
  <si>
    <t xml:space="preserve">GPT-4 was released in February 2023, 14 months ago.</t>
  </si>
  <si>
    <t xml:space="preserve">GPT-3.5 was released in March 2022,3 and Meta's Llama 2 was released in July 2023 for a lag of 16 months.</t>
  </si>
  <si>
    <t xml:space="preserve">…l examples suggesting that weights of models similar to currently-closed AI systems will, or will not, likely become widely available? If so, what are they?**
The most informative data points thus far are lag times between the release of OpenAI's state-of-theart GPT ("Generative Pre-trained Transformer") language models and the availability of downloadable models offering similar performance:
- GPT-3 was released in June 2020,&lt;sup&gt;1&lt;/sup&gt; and Meta's OPT-175B was released in May 2022 for a lag of **23 months**.
- ⟦GPT-3.5 was released in March 2022,&lt;sup&gt;3&lt;/sup&gt; and Meta's Llama 2 was released in July 2023 for a lag of **16 months**. 4⟧
- GPT-4 was released in February 2023,&lt;sup&gt;5&lt;/sup&gt; **14 months ago. It is yet to be matched** by downloadable models.&lt;sup&gt;6&lt;/sup&gt;
Historical evidence prior to the release of GPT-3 is likely less informative. With academia and its norms of open science playing a greater role at the capabilities frontier, weights of state-of-the-art generative AI models were often released publicly.
We can also observe similar time lags following the release of OpenAI's state-of-the-art DALL-E image generation models.
&lt;sup&gt;6&lt;/sup&gt; LMSys, "Chatbot Arena Leaderboard"; "MMLU Benchmark (Multi-Task Language Understanding)"; Rein et al., "GPQA."
![](_page_1_Picture_15.jpeg)
&lt;sup&gt;1&lt;/sup&gt; Devin Coldewey, "OpenAI Makes an All-Purpose API for Its Text-Based AI Capabilities," *TechCrunch*, June 11, 2020, [https://techcrunch.com/2020/06/11/openai-makes-an-all-purpose-api-for-its-text-based-ai-capabilities/.](https://techcrunch.com/2020/06/11/openai-makes-an-all-purpose-api-for-its-text-based-ai-capabilities/)
&lt;sup&gt;2&lt;/sup&gt; Ben Cottier, "The Replication and Emulation of GPT-3," Rethink Priorities, December 21, 2022, [https://rethinkpriorities.org/publications/the-replication-and-emulation-of-gpt-3.](https://rethinkpriorities.org/publications/the-replication-and-emulation-of-gpt-3) Cottier makes the case for OPT-175B being the first downloadable model to offer similar performance to GPT-3.
&lt;sup&gt;3&lt;/sup&gt; «Mohammad Bavarian et al., "New GPT-3 Capabilities: Edit &amp; Insert," OpenAI, March 15, 2022, [https://openai.com/blog/gpt-3-edit-insert.](https://openai.com/blog/gpt-3-edit-insert) These GPT-3 davinci-002 models were subsequently categorized as 'GPT-3.5' models: "Azure OpenAI Service Deprecated Models," Microsoft Learn, February 26, 2024, [https://learn.microsoft.com/en-us/azure/ai-services/openai/concepts/legacy-models.](https://learn.microsoft.com/en-us/azure/ai-services/openai/concepts/legacy-models)»
&lt;sup&gt;4&lt;/sup&gt; "Meta and Microsoft Introduce the Next Generation of Llama," Meta, July 18, 2023, [https://about.fb.com/news/2023/07/llama-2/.](https://about.fb.com/news/2023/07/llama-2/) In identifying Llama 2 as the first downloadable model to offer near-GPT-3.5 level performance, I considered: David Rein et al., "GPQA: A Graduate-Level Google-Proof Q&amp;A Benchmark" (arXiv, November 20, 2023)[, htt…</t>
  </si>
  <si>
    <t xml:space="preserve">3d14cef0-e991-543c-bd89-4e388eaed72a</t>
  </si>
  <si>
    <t xml:space="preserve">See the discussion of transparency in Early Best Practices for Frontier AI Safety [Evaluations](https://www.frontiermodelforum.org/updates/early-best-practices-for-frontier-ai-safety-evaluations/).</t>
  </si>
  <si>
    <t xml:space="preserve">[link] https://www.frontiermodelforum.org/updates/early-best-practices-for-frontier-ai-safety-evaluations/</t>
  </si>
  <si>
    <t xml:space="preserve">Transparency in their safety evaluations is an important consideration for frontier AI developers, in particular because it is crucial for reproducibility, understanding, and expert validation.</t>
  </si>
  <si>
    <t xml:space="preserve">However, the guidance in this objective should emphasize more clearly that transparency must be balanced against the potential for an increase in risks from information disclosure, and that public disclosure of the operational details of model evaluations could exacerbate the very safety and security risks this guidance seeks to mitigate.</t>
  </si>
  <si>
    <t xml:space="preserve">Excessive transparency can create information hazards, enable malicious actors to bypass protections, and also creates the risk that the disclosed data will contaminate future training data and undermine the effectiveness of evaluation tools.</t>
  </si>
  <si>
    <t xml:space="preserve">However, the guidance in this objective should emphasize more clearly that transparency must be balanced against the potential for an increase in risks from information disclosure, and that public disclosure of the operational details of model evaluations could exacerbate the very safety and security risks this guidance seeks to mitigate. 6</t>
  </si>
  <si>
    <t xml:space="preserve">…s 4 and 7 in the report emphasize the importance of transparency in methodology, noting that developers should document a list of evaluation tasks used to evaluate each threat profile and a methodological description for each evaluation in enough detail to reproduce it. It also advises AI developers to share the methodology and results of evaluations of model capabilities, risks, and mitigations. Transparency in their safety evaluations is an important consideration for frontier AI developers, in particular because it is crucial for reproducibility, understanding, and expert validation.
⟦However, the guidance in this objective should emphasize more clearly that transparency must be balanced against the potential for an increase in risks from information disclosure, and that public disclosure of the operational details of model evaluations could exacerbate the very safety and security risks this guidance seeks to mitigate.⟧ &lt;sup&gt;6&lt;/sup&gt; Excessive transparency can create information hazards, enable malicious actors to bypass protections, and also creates the risk that the disclosed data will contaminate future training data and undermine the effectiveness of evaluation tools. For example, a balanced approach might involve providing transparency for a subset of prompts and data while keeping another subset hidden. This allows external validation while mitigating risks of overfitting and misuse. As such, we invite the U.S. AI Safety Institute to elaborate further on the potential pitfalls of excessive transparency in model evaluations, and to note the importance of striking a balance against the potential risks.
## **4. Distinction between models and systems**
The draft report primarily focuses on AI models as opposed to systems. Section 2 starts by stating, "this document focuses on misuse risk from dual-use foundation models…[and does not] address all risks to public safety, including those that may arise from other types of AI models and systems." Since the focus on models rather than systems has important implications for safety evaluations and mitigations, the report should be more explicit about how it distinguishes between them. 7
Significantly, deployed AI systems often include safety interventions or safeguards on top of underlying models, resulting in different behaviors. For example, a system built on a powerful model might automatically add data to prompts to enhance the model's built-in protection mechanisms. Evaluating both the system and its underlying model in these situations provides
&lt;sup&gt;6&lt;/sup&gt; «See the discussion of transparency in Early Best Practices for Frontier AI Safety [Evaluations](https://www.frontiermodelforum.org/updates/early-best-practices-for-frontier-ai-safety-evaluations/).»
&lt;sup&gt;7&lt;/sup&gt; For more on this point, see the discussion of AI models and systems in Early Best [Practices](https://www.frontiermodelforum.org/updates/early-best-practices-for-frontier-ai-safety-evaluations/) for Frontier AI Safety [Evaluations.](https://www.frontiermodelforum.org/updates/early-best-practices-for-frontier-ai-safety-evaluations/)
insight into the effectiveness of safeguards and o…</t>
  </si>
  <si>
    <t xml:space="preserve">bb176c2f-01c3-512f-9bbe-a15f2d4497a8</t>
  </si>
  <si>
    <t xml:space="preserve">NIST-2024-0002-0073</t>
  </si>
  <si>
    <t xml:space="preserve">NIST/2024-17614/comments/comment_attachments/NIST-2024-0002-0073_1.md</t>
  </si>
  <si>
    <t xml:space="preserve">Andrew Smith, "Using Artificial Intelligence and Algorithms" (Apr. 8, 2020), Federal Trade Commission, https://www.ftc.gov/news-events/blogs/business-blog/2020/04/using-artificial-intelligence-algorithms; and Elisa Jillson, "Aiming for truth, fairness, and equity in your company's use of AI" (Apr. 19, 2021), Federal Trade Commission, https://www.ftc.gov/news-events/blogs/business-blog/2021/04/aiming-truth- fairness-equity-your-companys-use-ai.6</t>
  </si>
  <si>
    <t xml:space="preserve">[link] https://www.ftc.gov/news-events/blogs/business-blog/2020/04/using-artificial-intelligence-algorithms</t>
  </si>
  <si>
    <t xml:space="preserve">As previously referenced, the financial regulators recently issued an RFI on Financial Institutions' Use of AI, including Machine Learning.</t>
  </si>
  <si>
    <t xml:space="preserve">The Federal Trade Commission (FTC) provided guidelines on using AI and algorithms in April 2020, and more recently issued a blog post on truth, fairness and equity in AI in April 2021.6 In its most recent publication, the FTC encouraged organizations to embrace transparency and independence by using transparency frameworks and independent standards, among other methods, and defined unfairness as any act that "causes more harm than good".7</t>
  </si>
  <si>
    <t xml:space="preserve">In developing the AI RMF, NIST has an opportunity to harmonize frameworks and definitions across various industries and should work with federal regulators to ensure consistency with existing requirements, and where possible, remove any ambiguity.</t>
  </si>
  <si>
    <t xml:space="preserve">In its most recent publication, the FTC encouraged organizations to embrace transparency and independence by using transparency frameworks and independent standards, among other methods, and defined unfairness as any act that "causes more harm than good".7</t>
  </si>
  <si>
    <t xml:space="preserve">…foundation for a comprehensive framework for managing AI risks over the specific activities in which AI is being used in financial services. The AI RMF should be designed in a way that voluntary adoption of NIST's framework would not conflict with banks' existing regulatory obligations.
Various U.S. federal regulators are currently considering laws, regulations and guidance around the use of AI. As previously referenced, the financial regulators recently issued an RFI on Financial Institutions' Use of AI, including Machine Learning. ⟦The Federal Trade Commission (FTC) provided
&lt;sup&gt;2&lt;/sup&gt; Office of the Comptroller of the Currency, Board of Governors of the Federal Reserve System, Federal Deposit Insurance Corporation, Bureau of Consumer Financial Protection, National Credit Union Administration; Request for Information and Comment on Financial Institutions' Use of Artificial Intelligence, including Machine Learning, 86 Fed. Reg. 16837, (Mar. 31, 2021).
&lt;sup&gt;3&lt;/sup&gt; For a detailed list of financial laws and regulations that may be relevant to AI, refer to the appendix contained within the financial agencies' Request for Information on Artificial Intelligence, including Machine Learning, available at https://www.federalregister.gov/documents/2021/03/31/2021‐ 06607/request‐for‐information‐and‐comment‐on‐financial‐institutions‐use‐of‐artificial‐intelligence.
&lt;sup&gt;4&lt;/sup&gt; 12 C.F.R. pt. 30, App. B
&lt;sup&gt;5&lt;/sup&gt; 15 U.S.C. §1691 *et seq.*; 12 C.F.R. pt. 1002
guidelines on using AI and algorithms in April 2020, and more recently issued a blog post on truth, fairness and equity in AI in April 2021.6 In its most recent publication, the FTC encouraged organizations to embrace transparency and independence by using transparency frameworks and independent standards, among other methods, and defined unfairness as any act that "causes more harm than good".7⟧ In developing the AI RMF, NIST has an opportunity to harmonize frameworks and definitions across various industries and should work with federal regulators to ensure consistency with existing requirements, and where possible, remove any ambiguity. NIST may also consider the analysis from a recent Bank for International Settlements paper, published in August 2021, which outlined a role for standards‐setting bodies to develop international guidance or standards for using AI in the financial sector.8
### II. **Ensure the AI RMF is Risk‐Based and Compatible with Existing Risk Management Frameworks**
BPI agrees that the AI RMF should be risk‐based and non‐prescriptive, and appreciates that the Framework is intended to be consistent with other approaches to managing AI risk. Banks currently implement comprehensive risk management and corporate governance processes over AI models, as outlined by Supervisory Guidance on Model Risk Management ("Model Risk Management Guidance" or "Guidance"). The Guidance, issued jointly by the Office of the Comptroller of the Currency and the Federal Reserve Board and subsequently adopted by the Federal Deposit Insurance Corporation, provides a flexible, risk‐based approach to managing AI risks, where controls can be scaled or enhanced based on the overall risk entailed. Specifically, the Guidance requires banks to develop effective model risk management frameworks, including robust model development, implementation and use; effective validation; and sound governance, policies and controls.9
The Model Risk Management Guidance is unique to the financial sector; other industries do not have such comprehensive guidance for managing AI models. In addition to ensuring that the AI RMF is compatible with banks' existing risk management frameworks, NIST should consider using the Model Risk Management Guidance as a resource for developing the AI RMF. The core concepts outlined in the Guidance provide an effective framework for managing AI risks in the financial sector that could be applied more broadly to other industries. For example, the Guidance emphasizes the importance of sound model development and validation, and risk management processes commensurate with the materiality of the model. It also outlines processes for effective challenge to ensure models are fit for
8 Prenio, Jermy; Young, Jeffery, "Humans keeling AI in check – emerging regulatory expectations in the financial sector," Bank for International Settlements (Aug. 2021), https://www.bis.org/fsi/publ/insights35.pdf.
&lt;sup&gt;6&lt;/sup&gt; «Andrew Smith, "Using Artificial Intelligence and Algorithms" (Apr. 8, 2020), Federal Trade Commission, https://www.ftc.gov/news‐events/blogs/business‐blog/2020/04/using‐artificial‐intelligence‐algorithms; and Elisa Jillson, "Aiming for truth, fairness, and equity in your company's use of AI" (Apr. 19, 2021), Federal Trade Commission, https://www.ftc.gov/news‐events/blogs/business‐blog/2021/04/aiming‐truth‐ fairness‐equity‐your‐companys‐use‐ai.»
&lt;sup&gt;7&lt;/sup&gt; *Id.*
&lt;sup&gt;9&lt;/sup&gt; FRB, SR 11‐7, Supervisory Guidance on Model Risk Management (Apr. 4, 2011), https://www. federalreserve.gov/supervisionreg/srletters/sr1107a1.pdf; OCC, Bulletin 2011‐12, Supervisory Guidance on Model Risk Management (Apr. 4, 2011), https://occ.gov/news‐issuances/bulletins/2011/bulletin‐2011‐ 12a.pdf ; FDIC, FIL‐22‐2017, Adoption of Supervisory Guidance on Model R…</t>
  </si>
  <si>
    <t xml:space="preserve">5ff7bd02-fd63-575d-9d34-0cf012df2b67</t>
  </si>
  <si>
    <t xml:space="preserve">NIST-2021-0004-0077</t>
  </si>
  <si>
    <t xml:space="preserve">NIST/2021-16176/comments/comment_attachments/NIST-2021-0004-0077_1.md</t>
  </si>
  <si>
    <t xml:space="preserve">See also [https://opensource.org/osd/](https://opensource.org/osd/).</t>
  </si>
  <si>
    <t xml:space="preserve">[link] https://opensource.org/osd/</t>
  </si>
  <si>
    <t xml:space="preserve">We write to amplify the need for this open innovation approach and offer context for why it is so necessary for the government to be able to seize this moment to lead with responsible innovation.</t>
  </si>
  <si>
    <t xml:space="preserve">First, the OMB Memo should expressly draw the connection to established federal policy around open source.</t>
  </si>
  <si>
    <t xml:space="preserve">OMB Memorandum M-16-21, "Federal Source Code Policy: Achieving Efficiency, Transparency, and Innovation through Reusable and Open Source Software" established a federal policy in support of open innovation to benefit Americans.</t>
  </si>
  <si>
    <t xml:space="preserve">First, the OMB Memo should expressly draw the connection to established federal policy around open source.  OMB Memorandum M-16-21, "Federal Source Code Policy: Achieving [Efficiency,](https://obamawhitehouse.archives.gov/sites/default/files/omb/memoranda/2016/m_16_21.pdf) [Transparency,](https://obamawhitehouse.archives.gov/sites/default/files/omb/memoranda/2016/m_16_21.pdf) and Innovation through Reusable and Open Source Software" established a</t>
  </si>
  <si>
    <t xml:space="preserve">…ng that:
Agencies should also ensure adequate access for AI developers to the software tools, *open-source libraries*, and deployment and monitoring capabilities necessary to rapidly develop, test, and maintain AI applications.
We believe that open approaches to innovation for government technology are critical for responsible, accountable, and transparent use of AI for the federal government.
We write to amplify the need for this open innovation approach and offer context for why it is so necessary for the government to be able to seize this moment to lead with responsible innovation.
⟦First, the OMB Memo should expressly draw the connection to established federal policy around open source.⟧ &lt;sup&gt;1&lt;/sup&gt; OMB Memorandum M-16-21, "Federal Source Code Policy: Achieving [Efficiency,](https://obamawhitehouse.archives.gov/sites/default/files/omb/memoranda/2016/m_16_21.pdf) [Transparency,](https://obamawhitehouse.archives.gov/sites/default/files/omb/memoranda/2016/m_16_21.pdf) and Innovation through Reusable and Open Source Software" established a
&lt;sup&gt;1&lt;/sup&gt; We focus in this letter on policies around open source, which is a type of software whose source code is publicly available for individuals to view, use, modify, and distribute. «See also [https://opensource.org/osd/.](https://opensource.org/osd/)» Open source can be conceived of as an example of open innovation in software, and we do not draw sharp definitional distinctions here. See [http://oss-watch.ac.uk/resources/openinnov.](http://oss-watch.ac.uk/resources/openinnov) While the term open source is often used to characterize foundation models loosely, there are important distinctions to be drawn there, as the "openness" of a foundation model depends not just on source code availability, but also on the availability of model weights, artifacts, documentation, data, and compute. For a lucid exposition of the gradient of open release, see Solaiman, Irene. "The gradient of generative AI release: Methods and considerations." In Proceedings of the 2023 ACM Conference on Fairness, Accountability, and Transparency, pp. 111-122.
federal policy in support of open innovation to benefit Americans. Agencies should [default](https://code.gov/about/overview/introduction/) to open [source](https://code.gov/about/overview/introduction/) when developing or acquiring code, and agencies piloted programs to require at least 20 percent of new software to be commissioned as open source. Many agencies, from the [Department](https://www.commerce.gov/about/policies/source-code) of Commerce to the Genera…</t>
  </si>
  <si>
    <t xml:space="preserve">261f1b8e-b1d6-53dd-8139-ea38be851bc5</t>
  </si>
  <si>
    <t xml:space="preserve">OMB-2023-0020-0160</t>
  </si>
  <si>
    <t xml:space="preserve">OMB/2023-24269/comments/comment_attachments/OMB-2023-0020-0160_1.md</t>
  </si>
  <si>
    <t xml:space="preserve">1 ChatGPT.&lt;https://openai.com/blog/chatgpt&gt;(accessed 5 June 2023).</t>
  </si>
  <si>
    <t xml:space="preserve">[footnote] ChatGPT.&lt;https://openai.com/blog/chatgpt&gt;(accessed 5 June 2023).
[link] https://openai.com/blog/chatgpt</t>
  </si>
  <si>
    <t xml:space="preserve">While this response does not attempt to address every aspect of AI accountability, it does attempt to provide a robust response.</t>
  </si>
  <si>
    <t xml:space="preserve">The public at large has quickly become enamored with the concept of artificial intelligence (AI) with the release of the generative AI ChatGPT0F in November 2022.</t>
  </si>
  <si>
    <t xml:space="preserve">However, awe quickly turned to fear as the public realized the perceived power of AI, calling for AI ethics to be developed and then enforced via some form of guardrails to protect the public from nefarious AI.</t>
  </si>
  <si>
    <t xml:space="preserve">The public at large has quickly become enamored with the concept of artificial intelligence (AI) with the release of the generative AI [ChatGPT](https://openai.com/blog/chatgpt)0F 1 in November 2022.</t>
  </si>
  <si>
    <t xml:space="preserve">…&lt;span id="page-4-0"&gt;&lt;/span&gt;**Vision for AI Accountability**
AI accountability is a challenging topic, and this RFC response is framed within a holistic vision for implementing AI accountability for the technology of today as well as the near future. A focused response is provided below to all 34 RFC questions, where each response is provided within the context provided by the articulated vision. While this response does not attempt to address every aspect of AI accountability, it does attempt to provide a robust response.
⟦The public at large has quickly become enamored with the concept of *artificial intelligence* (AI) with the release of the generative AI [ChatGPT](https://openai.com/blog/chatgpt)0F &lt;sup&gt;1&lt;/sup&gt; in November 2022.⟧ However, awe quickly turned to fear as the public realized the perceived power of AI, calling for AI ethics to be developed and then enforced via some form of guardrails to protect the public from nefarious AI. While AI is a nebulous concept for most laypeople, autonomous technologies that encompass this concept are now viable at scale across multiple markets, so both public and private initiatives to develop and adapt appropriate guardrails must be fast-tracked to operationalize these technologies in accordance with societal, national, and geostrategic objectives.
Without adequate safeguards, autonomous technologies will become a national security threat since networked software systems are systemic across the globe but especially prevalent throughout all aspects of the US economy. In many respects, the livelihood of certain individuals and businesses, including government organizations, are threatened by misinformation and cyberattacks that are fueled if not driven by some AI systems. While no set of guardrails can completely protect society, the combination of both active and passive measures to identify and mitigate (where possible) nefarious effects of AI, plus a robust effort to educate various populations about the benefits and risks of AI, will usher in a new era of autonomous technologies that will affect the daily lives of everyone, everywhere.
#### &lt;span id="page-4-1"&gt;&lt;/span&gt;**Autonomous Technologies**
Autonomous technology describes technology sufficiently enriched with sensors, AI, and analytical capabilities to make decisions independent of human control. Autonomous avatars represent the personification of autonomous technologies that abstract entity behaviors that are not human-controlled but may interact with humans. As the volume of globally available data, including sensor data, is likely approaching a yottabyte (million trillion megabytes) in size, autonomous avatars are now needed to help society make sense of this every expanding volume of data.
Generative AI is one of many forms of autonomous technologies that will ultimately underpin a global marketplace of autonomous commerce services ranging from smart infrastructure to autonomous driving/flying vehicles to smart contracts involving autonomous avatars as parties to microtransactions across the globe. However, before autonomous commerce services can be widely adopted by the general public, a greater sense of trust must be developed surrounding these technologies that involve transparency and accountability with respect to ethical guardrails for operating autonomous technologies and consuming the resultant products and services produced by these technologies.
&lt;sup&gt;1&lt;/sup&gt; «ChatGPT.&lt;https://openai.com/blog/chatgpt&gt;(accessed 5 June 2023).»
Reasoning is derived from a methodology that codifies information from raw data into knowledge utilizing sensing-making drawn from experience. However, wisdom represents beliefs, purposes, values, and judgment to make decisions on knowledge rather than just information or rules. A key aspect for enabling autonomous avatars to reason autonomously is to transform information into knowledge that re…</t>
  </si>
  <si>
    <t xml:space="preserve">05b9634c-904c-5038-99a5-96a1e64144a7</t>
  </si>
  <si>
    <t xml:space="preserve">NTIA-2023-0005-0630</t>
  </si>
  <si>
    <t xml:space="preserve">NTIA/2023-07776/comments/comment_attachments/NTIA-2023-0005-0630_1.md</t>
  </si>
  <si>
    <t xml:space="preserve">CIPL Comments on the International Conference of Data Protection and Privacy Commissioners Declaration on Ethics and Data Protection in Artificial Intelligence, submitted January 25, 2019, availabl[e here.](https://www.informationpolicycentre.com/uploads/5/7/1/0/57104281/cipl_response_to_icdppc_declaration_on_ethics_and_data_protection_in_artificial_intelligence.pdf)</t>
  </si>
  <si>
    <t xml:space="preserve">[reference] CIPL Comments on the International Conference of Data Protection and Privacy Commissioners Declaration on Ethics and Data Protection in Artificial Intelligence, submitted January 25, 2019, availabl[e here.](https://www.informationpolicycentre.com/uploads/5/7/1/0/57104281/cipl_response_to_icdppc_declaration_on_ethics_and_data_protection_in_artificial_intelligence.pdf)
[link] https://www.informationpolicycentre.com/uploads/5/7/1/0/57104281/cipl_response_to_icdppc_declaration_on_ethics_and_data_protection_in_artificial_intelligence.pdf</t>
  </si>
  <si>
    <t xml:space="preserve">In February 2020, CIPL published a report that provides insights into emerging solutions for delivering trusted and responsible AI.</t>
  </si>
  <si>
    <t xml:space="preserve">In January 2019, CIPL submitted formal comments to the International Conference of Data Protection and Privacy Commissioners on its Declaration on Ethics and Data Protection in Artificial Intelligence.</t>
  </si>
  <si>
    <t xml:space="preserve">In November 2018, CIPL published its first report on AI, which describes AI's capabilities as well as AI's challenges to compliance with traditional data protection laws and norms.</t>
  </si>
  <si>
    <t xml:space="preserve">In January 2019, CIPL submitted formal comments to the International Conference of Data Protection and Privacy Commissioners on its Declaration on Ethics and Data Protection in Artificial Intelligence.[16]</t>
  </si>
  <si>
    <t xml:space="preserve">…he Office of the Privacy Commissioner of Canada in response to its proposals for ensuring appropriate regulation of artificial intelligence.[13](#page-2-5)
- Also in March 2020, CIPL published a paper exploring the various ways in which the EU General Data Protection Regulation regulates the development and use of artificial intelligence by organizations processing personal data.[14](#page-2-6)
- In February 2020, CIPL published a report that provides insights into emerging solutions for delivering trusted and responsible AI.[15](#page-2-7)
- ⟦In January 2019, CIPL submitted formal comments to the International Conference of Data Protection and Privacy Commissioners on its Declaration on Ethics and Data Protection in Artificial Intelligence.⟧[16](#page-2-8)
- In November 2018, CIPL published its first report on AI, which describes AI's capabilities as well as AI's challenges to compliance with traditional data protection laws and norms.[17](#page-2-9)
&lt;span id="page-2-0"&gt;&lt;/span&gt;&lt;sup&gt;8&lt;/sup&gt; CIPL Comments on the FTC's ANPR on Commercial Surveillance and Data Security, submitted Nov. 21, 2022, availabl[e here.](https://www.informationpolicycentre.com/uploads/5/7/1/0/57104281/cipl_comments_on_the_ftc%E2%80%99s_anpr_on_commercial_surveillance_and_data_security__21_nov_2022_.pdf)
&lt;span id="page-2-1"&gt;&lt;/span&gt;&lt;sup&gt;9&lt;/sup&gt; CIPL's Top Ten Recommendations for Regulating AI in Brazil, published October 4, 2022, availabl[e here.](https://www.informationpolicycentre.com/uploads/5/7/1/0/57104281/%5ben%5d_cipls_top_ten_recommendations_for_regulating_ai_in_brazil__4_october_2022_.pdf)
&lt;span id="page-2-2"&gt;&lt;/span&gt;&lt;sup&gt;10&lt;/sup&gt; CIPL Response to UK Department for Digital, Culture, Media and Sport (DCMS) Policy Paper on Establishing a Pro-innovation Approach to Regulating AI, submitted Sept. 23, 2022, availabl[e here.](https://www.informationpolicycentre.com/uploads/5/7/1/0/57104281/cipl_response_to_uk_dcms_proposed_approach_to_regulating_ai_23_09_22.pdf) 
&lt;span id="page-2-3"&gt;&lt;/span&gt;&lt;sup&gt;11&lt;/sup&gt; CIPL Response to the EU Commission's Consultation on the Draft AI Act, submitted July 29, 2021, available [here.](https://www.informationpolicycentre.com/uploads/5/7/1/0/57104281/cipl_response_to_the_consultation_on_the_draft_ai_act__29_july_2021_.pdf)
&lt;span id="page-2-4"&gt;&lt;/span&gt;&lt;sup&gt;12&lt;/sup&gt; CIPL Recommendations on Adopting a Risk-Based Approach to Regulating Artificial Intelligence in the EU, published March 22, 2021, available [here.](https://www.informationpolicycentre.com/uploads/5/7/1/0/57104281/cipl_risk-based_approach_to_regulating_ai__22_march_2021_.pdf) 
&lt;span id="page-2-5"&gt;&lt;/span&gt;&lt;sup&gt;13&lt;/sup&gt; CIPL Comments on the Office of the Privacy Commissioner of Canada's Consultation on Proposals for Ensuring Appropriate Regulation of Artificial Intelligence, submitted March 12, 2020, available [here.](https://www.huntonprivacyblog.com/wp-content/uploads/sites/28/2020/03/cipl_comments_on_the_opcs_proposals_for_ensuring_appropriate_regulation_of_artificial_intelligence__12_march_2020_.pdf)
&lt;span id="page-2-6"&gt;&lt;/span&gt;&lt;sup&gt;14&lt;/sup&gt; Artificial Intelligence and Data Protection How the GDPR Regulates AI, published March 12, 2020, available [here.](https://www.huntonprivacyblog.com/wp-content/uploads/sites/28/2020/03/cipl-hunton_andrews_kurth_legal_note_-_how_gdpr_regulates_ai__12_march_2020_-1.pdf)
&lt;span id="page-2-7"&gt;&lt;/span&gt;&lt;sup&gt;15&lt;/sup&gt; CIPL AI Second Report: Hard Issues and Practical Solutions, published Feb. 27, 2020, availabl[e here.](https://www.huntonprivacyblog.com/wp-content/uploads/sites/28/2020/03/cipl_second_report_-_artificial_intelligence_and_data_protection_-_hard_issues_and_practical_solutions__27_february_2020_1.pdf)
&lt;span id="page-2-8"&gt;&lt;/span&gt;&lt;sup&gt;16&lt;/sup&gt; «CIPL Comments on the International Conference of Data Protection and Privacy Commissioners Declaration on Ethics and Data Protection in Artificial Intelligence, submitted January 25, 2019, availabl[e here.](https://www.informationpolicycentre.com/uploads/5/7/1/0/57104281/cipl_response_to_icdppc_declaration_on_ethics_and_data_protection_in_artificial_intelligence.pdf)»
&lt;span id="page-2-9"&gt;&lt;/span&gt;&lt;sup&gt;17&lt;/sup&gt; CIPL AI First Report: Artificial Intelligence and Data Protection in Tension, published Oct. 10, 2018, available [here.](https://www.informationpolicycentre.com/uploads/5/7/1/0/57104281/cipl_ai_first_report_-_artificial_intelligence_and_data_protection_in_te....pdf)
![](_page_3_Picture_0.jpeg)
CIPL also has a rich history of convening stakeholders for t…</t>
  </si>
  <si>
    <t xml:space="preserve">0a065196-5797-57ab-9a4f-b2eda226c8dc</t>
  </si>
  <si>
    <t xml:space="preserve">12 "AI Trends," Epoch, accessed March 18, 2024, [https://epochai.org/trends.](https://epochai.org/trends)</t>
  </si>
  <si>
    <t xml:space="preserve">[footnote] "AI Trends," Epoch, accessed March 18, 2024, https://epochai.org/trends.
[link] https://epochai.org/trends.</t>
  </si>
  <si>
    <t xml:space="preserve">…dable models.&lt;sup&gt;11&lt;/sup&gt;
Nonetheless, developers of downloadable models will face growing challenges in keeping pace with the AI frontier, potentially increasing the lag time to deploy comparably performing, downloadable models. These challenges include growing costs, secrecy around model algorithms and training, limits to the current data regime, and increased competition.
# *Growing costs*
⟦Increased spending on training has been the largest driver of progress in cutting-edge AI capabilities.&lt;sup&gt;12&lt;/sup&gt;⟧ If current spending trends continue, the cost for training models will exceed \$1 billion within a few years.&lt;sup&gt;13&lt;/sup&gt; As a result, several labs may no longer be able to afford training near the AI frontier, especially if releasing their model weights reduces potential monetization.
&lt;sup&gt;13&lt;/sup&gt; Paul Scharre, "Future-Proofing Frontier AI Regulation" (Center for a New American Security, March 2024), [https://www.cnas.org/publications/reports/future-proofing-frontier-ai-regulation.](https://www.cnas.org/publications/reports/future-proofing-frontier-ai-regulation)
![](_page_2_Picture_14.jpeg)
&lt;sup&gt;7&lt;/sup&gt; Khari Johnson, "OpenAI Debuts DALL-E for Generating Images from Text," VentureBeat, January 5, 2021, [https://venturebeat.com/business/openai-debuts-dall-e-for-generating-images-from-text/.](https://venturebeat.com/business/openai-debuts-dall-e-for-generating-images-from-text/)
&lt;sup&gt;8&lt;/sup&gt; "MS COCO Benchmark (Text-to-Image Generation)," Papers with Code, accessed March 21, 2024, &lt;https://paperswithcode.com/sota/text-to-image-generation-on-coco&gt;; Nathan Benaich and Ian Hogarth, "State of AI Report 2022," October 11, 2022, 35, [https://www.stateof.ai/2022.](https://www.stateof.ai/2022)
&lt;sup&gt;9&lt;/sup&gt; Kyle Wiggers, "OpenAI Expands Access to DALL-E 2, Its Powerful Image-Generating AI System," TechCrunch, July 20, 2022, [https://techcrunch.com/2022/07/20/openai-expands-access-to-dall-e-2-its-powerful-image-generating-ai-system/.](https://techcrunch.com/2022/07/20/openai-expands-access-to-dall-e-2-its-powerful-image-generating-ai-system/) &lt;sup&gt;10&lt;/sup&gt; Benj Edwards, "Stability AI Releases Stable Diffusion XL, Its Next-Gen Image Synthesis Model," Ars Technica, July 27, 2023, [https://arstechnica.com/information-technology/2023/07/stable-diffusion-xl-puts-ai-generated-visual-worlds-at](https://arstechnica.com/information-technology/2023/07/stable-diffusion-xl-puts-ai-generated-visual-worlds-at-your-gpus-command/)[your-gpus-command/.](https://arstechnica.com/information-technology/2023/07/stable-diffusion-xl-puts-ai-generated-visual-worlds-at-your-gpus-command/) Pre-XL Stable Diffusion models appear to have performed close to DALL-E 2 (Center for Research on Foundation Models, "Holistic Evaluation of Text-To-Image Models (HEIM)," August 18, 2023, [https://crfm.stanford.edu/heim/latest/?group=core\\_scenarios\)](https://crfm.stanford.edu/heim/latest/?group=core_scenarios); given Stable Diffusion XL significantly improved on this models (Dustin Podell et al., "SDXL: Improving Latent Diffusion Models for High-Resolution Image Synthesis" (arXiv, July 4, 2023)[, https://doi.org/10.48550/arXiv.2307.01952\)](https://doi.org/10.48550/arXiv.2307.01952), it seems reasonable to assume it offers at least similar performance to DALL-E 2.
&lt;sup&gt;11&lt;/sup&gt; Jonathan Vanian, "Mark Zuckerberg Indicates Meta Is Spending Billions of Dollars on Nvidia AI Chips," CNBC, January 18, 2024, [https://www.cnbc.com/2024/01/18/mark-zuckerberg-indicates-meta-is-spending-billions-on-nvidia-ai](https://www.cnbc.com/2024/01/18/mark-zuckerberg-indicates-meta-is-spending-billions-on-nvidia-ai-chips.html)[chips.html.](https://www.cnbc.com/2024/01/18/mark-zuckerberg-indicates-meta-is-spending-billions-on-nvidia-ai-chips.html)
&lt;sup&gt;12&lt;/sup&gt; «"AI Trends," Epoch, accessed March 18, 2024, [https://epochai.org/trends.](https://epochai.org/trends)»
Mistral's recent release of its Mistral Large language model illustrates this dynamic.&lt;sup&gt;14&lt;/sup&gt; Before this, Mistral had released the weights of its prior flagship models. If Mistral had done so for Mistral Large, it would likely be among the most powerful downloadable models.&lt;sup&gt;15&lt;/sup&gt; Instead, Mistral limited access to Mistral Large through online interfaces and APIs, including through …</t>
  </si>
  <si>
    <t xml:space="preserve">d6991a0a-f8d2-5d82-ba37-7860816a5d63</t>
  </si>
  <si>
    <t xml:space="preserve">CIPL Comments on the FTC's ANPR on Commercial Surveillance and Data Security, submitted Nov. 21, 2022, availabl[e here.](https://www.informationpolicycentre.com/uploads/5/7/1/0/57104281/cipl_comments_on_the_ftc%E2%80%99s_anpr_on_commercial_surveillance_and_data_security__21_nov_2022_.pdf)</t>
  </si>
  <si>
    <t xml:space="preserve">[reference] CIPL Comments on the FTC's ANPR on Commercial Surveillance and Data Security, submitted Nov. 21, 2022, availabl[e here.](https://www.informationpolicycentre.com/uploads/5/7/1/0/57104281/cipl_comments_on_the_ftc%E2%80%99s_anpr_on_commercial_surveillance_and_data_security__21_nov_2022_.pdf)
[link] https://www.informationpolicycentre.com/uploads/5/7/1/0/57104281/cipl_comments_on_the_ftc%E2%80%99s_anpr_on_commercial_surveillance_and_data_security__21_nov_2022_.pdf</t>
  </si>
  <si>
    <t xml:space="preserve">In March 2023, CIPL submitted a response to the California Privacy Protection Agency's Invitation for Preliminary Comments on Proposed Rulemaking for cybersecurity audits, risk assessments, and automated decision-making.</t>
  </si>
  <si>
    <t xml:space="preserve">In November 2022, CIPL filed comments on the Federal Trade Commission's Advanced Notice of Proposed Rulemaking on commercial surveillance and data security, which addressed, among other things, artificial intelligence.</t>
  </si>
  <si>
    <t xml:space="preserve">In October 2022, CIPL published a white paper outlining ten key recommendations for regulating artificial intelligence in Brazil.</t>
  </si>
  <si>
    <t xml:space="preserve">In November 2022, CIPL filed comments on the Federal Trade Commission's Advanced Notice of Proposed Rulemaking on commercial surveillance and data security, which addressed, among other things, artificial intelligence.[8]</t>
  </si>
  <si>
    <t xml:space="preserve">…3, CIPL submitted a response to the Office of Management and Budget on its draft memorandum "Advancing Governance, Innovation, and Risk Management for Agency Use of Artificial Intelligence.["5](#page-1-1)
- In June 2023, CIPL submitted a response to the U.S. National Telecommunications and Information Administration's Request for Comments on Artificial Intelligence Accountability.[6](#page-1-2)
- In March 2023, CIPL submitted a response to the California Privacy Protection Agency's Invitation for Preliminary Comments on Proposed Rulemaking for cybersecurity audits, risk assessments, and automated decision-making.[7](#page-1-3)
&lt;span id="page-1-0"&gt;&lt;/span&gt;&lt;sup&gt;4&lt;/sup&gt; CIPL Comments on Brazilian Senate Bill No.2338, December 6, 2023, availabl[e here.](https://www.informationpolicycentre.com/uploads/5/7/1/0/57104281/cipl_comments_on_brazilian_senate_bill_no._2338__6_december_2023_.pdf)
&lt;span id="page-1-1"&gt;&lt;/span&gt;&lt;sup&gt;5&lt;/sup&gt; CIPL Response to OMB Request for Comments on its Proposed Memorandum on Advancing Governance, Innovation, and Risk Management for Agency Use of Artificial intelligence, December 5, 2023, availabl[e here.](https://www.informationpolicycentre.com/uploads/5/7/1/0/57104281/cipl_response_to_omb_request_for_comments_on_agency_use_of_artificial_intelligence_draft_memorandum_-_final.pdf)
&lt;span id="page-1-2"&gt;&lt;/span&gt;&lt;sup&gt;6&lt;/sup&gt; CIPL Response to NTIA Request for Comment on AI Accountability Policy, June 12, 2023, availabl[e here.](https://www.informationpolicycentre.com/uploads/5/7/1/0/57104281/cipl_response_to_ntia_ai_accountability_policy_june2023.pdf)
&lt;span id="page-1-3"&gt;&lt;/span&gt;&lt;sup&gt;7&lt;/sup&gt; CIPL Response to the CPPA's Invitation for Preliminary Comments on Proposed Rulemaking on Cybersecurity Audits, Risk Assessments, and Automated Decisionmaking, March 27, 2023, available [here.](https://www.informationpolicycentre.com/uploads/5/7/1/0/57104281/cipl_response_to_cppa_invitation_for_preliminary_comments_on_proposed_rulemaking_on_cybersecurity_audits_risk_assessment_and_adm_-_march_27_2023.pdf)
![](_page_2_Picture_0.jpeg)
- ⟦In November 2022, CIPL filed comments on the Federal Trade Commission's Advanced Notice of Proposed Rulemaking on commercial surveillance and data security, which addressed, among other things, artificial intelligence.⟧[8](#page-2-0)
- In October 2022, CIPL published a white paper outlining ten key recommendations for regulating artificial intelligence in Brazil.[9](#page-2-1)
- In September 2022, CIPL submitted a response to the UK Department for Digital, Culture, Media &amp; Sport on its Consultation on establishing a pro-innovation approach to regulating AI[.10](#page-2-2)
- In July 2021, CIPL submitted a response to the European Commission's Consultation on the Draft Artificial Intelligence Act.[11](#page-2-3)
- In March 2021, CIPL published a paper on delivering a risk-based approach to regulating artificial intelligence.[12](#page-2-4)
- In March 2020, CIPL submitted formal comments to the Office of the Privacy Commissioner of Canada in response to its proposals for ensuring appropriate regulation of artificial intelligence.[13](#page-2-5)
- Also in March 2020, CIPL published a paper exploring the various ways in which the EU General Data Protection Regulation regulates the development and use of artificial intelligence by organizations processing personal data.[14](#page-2-6)
- In February 2020, CIPL published a report that provides insights into emerging solutions for delivering trusted and responsible AI.[15](#page-2-7)
- In January 2019, CIPL submitted formal comments to the International Conference of Data Protection and Privacy Commissioners on its Declaration on Ethics and Data Protection in Artificial Intelligence.[16](#page-2-8)
- In November 2018, CIPL published its first report on AI, which describes AI's capabilities as well as AI's challenges to compliance with traditional data protection laws and norms.[17](#page-2-9)
&lt;span id="page-2-0"&gt;&lt;/span&gt;&lt;sup&gt;8&lt;/sup&gt; «CIPL Comments on the FTC's ANPR on Commercial Surveillance and Data Security, submitted Nov. 21, 2022, availabl[e here.](https://www.informationpolicycentre.com/uploads/5/7/1/0/57104281/cipl_comments_on_the_ftc%E2%80%99s_anpr_on_commercial_surveillance_and_data_security__21_nov_2022_.pdf)»
&lt;span id="page-2-1"&gt;&lt;/span&gt;&lt;sup&gt;9&lt;/sup&gt; CIPL's Top Ten Recommendations for Regulating AI in Brazil, published October 4, 2022, availabl[e here.](https://www.informationpolicycentre.com/uploads/5/7/1/0/57104281/%5ben%5d_cipls_top_ten_recommendations_for_regulating_ai_in_brazil__4_october_2022_.pdf)
&lt;span id="page-2-2"&gt;&lt;/span&gt;&lt;sup&gt;10&lt;/sup&gt; CIPL Response to UK Department for Digital, Culture, Medi…</t>
  </si>
  <si>
    <t xml:space="preserve">028cad6e-7799-5b37-ba73-86af73e93414</t>
  </si>
  <si>
    <t xml:space="preserve">2 Morton Code [https://en.wikipedia.org/wiki/Z-order\_curve](https://en.wikipedia.org/wiki/Z-order_curve) (accessed 5 June 2023)</t>
  </si>
  <si>
    <t xml:space="preserve">[footnote] Morton Code [https://en.wikipedia.org/wiki/Z-order\_curve](https://en.wikipedia.org/wiki/Z-order_curve) (accessed 5 June 2023)
[link] https://en.wikipedia.org/wiki/Z-order_curve</t>
  </si>
  <si>
    <t xml:space="preserve">A QHC describes contextual states via multiple space-time dimensions, including explicit horizontal, vertical, and temporal extents, where dimensional ambiguity or observational fuzziness is characterized as labeled confidence, including evidence.</t>
  </si>
  <si>
    <t xml:space="preserve">These dimensional bit encodings implement a Z-order space-filling curve similar to a Morton Code1F to structure the traversal of every space-time state at every scale.</t>
  </si>
  <si>
    <t xml:space="preserve">Additional implicit dimensions of a QHC encoding include insights keys to specific space-time states.</t>
  </si>
  <si>
    <t xml:space="preserve">A quantum hash code (QHC) is a bit-encoding technology for a space-time footprint that is deterministic at any scale. A QHC describes contextual states via multiple space-time dimensions, including explicit horizontal, vertical, and temporal extents, where dimensional ambiguity or observational fuzziness is characterized as labeled confidence, including evidence. These dimensional bit encodings implement a Z-order space-filling curve similar to a [Morton Code](https://en.wikipedia.org/wiki/Z-order_curve)1F 2 to structure the traversal of every space-time state at every scale.</t>
  </si>
  <si>
    <t xml:space="preserve">…o support autonomous services.
#### &lt;span id="page-5-0"&gt;&lt;/span&gt;**Space-Time Situational Context**
Situational context describes the space-time footprint of an entity (*who* or *what* is *where* and *when,* with *how* and *why* the observation was collected) regardless of scale. A quantum hash
code (QHC) is a bit-encoding technology for a space-time footprint that is deterministic at any scale. A QHC describes contextual states via multiple space-time dimensions, including explicit horizontal, vertical, and temporal extents, where dimensional ambiguity or observational fuzziness is characterized as labeled confidence, including evidence. ⟦These dimensional bit encodings implement a Z-order space-filling curve similar to a [Morton Code](https://en.wikipedia.org/wiki/Z-order_curve)1F &lt;sup&gt;2&lt;/sup&gt; to structure the traversal of every space-time state at every scale.⟧
Additional implicit dimensions of a QHC encoding include insights keys to specific space-time states. Some examples include the celestial sphere, global digital terrain model (DTM), and other global authoritative data sources, including weather and climate models. Other forms exploit terrain delimitation classifications, such as land use and digital twins for infrastructure.
Similar to the quantum computing concept for superposition, a single QHC can simultaneously describe multiple scalar states. A single QHC code could describe a single atom that is part of a human organ that is part of a human being sitting at home in Chantilly, Virginia, in Loudoun County within the US in the northern hemisphere. Alternatively, QHC codes can also encode vertical dimensions, such as an office within a suite on a floor within a multistory building, or temporal durations like picosecond, hour, day, month, or year. Thus, a single QHC can represent the bounding extent of any phenomena, while hash sets of QHCs can describe any phenomena with greater fidelity by accumulating a set of QHC codes.
Complex spatiotemporal operations between QHCs use integer math via bit twiddling, negating the need for GPU clusters and empowering edge devices to reason without reach back to cloud infrastructure. Hash sets of QHCs can describe both continuous and discontinuous entities, such as an island chain or individual Wi-Fi hotspots in café, including a means to account for dimensional ambiguity or observational "fuzziness" (the difference between low-resolution and high-resolution observations). Unlike Euclidean points that model exact locations in space with no length, width, or thickness as a position vector and, therefore, cannot express any sense of geospatial scale, a QHC implicitly describes geospatial space as a bit sequence where scale is indicated via bit twiddling.
A design feature of QHCs is the deterministic mapping of geographic points into QHCs that spans all scales. The ability to simultaneously represent all geospatial scales with a singular encoding enables autonomous avatar reasoning to assess multiple spatial states to identify various spatial relationships between those states. Since all Euclidean shapes are derived from points, then all Euclidean shapes can also be depicted as QHC sets, where the QHC may be considered as a metadata representation of the original shape. Similar mappings can also be applied to volumetric and temporal data.
Autonomous avatars may reason autonomously upon situational context by assessing the intersection of QHC codes within sets that describe entity behaviors like moving from a source to a destination or conflation where the same place and time is evaluated with confidence for describing the same entity from disparate sensor observations. These reasoning abilities can define a space-time path for an entity to navigate while avoiding real-time obstacles to support autonomous driving or flying use cases. Alternatively, smart contracts can utilize spatiotemporal fencing logic to determine if an entity (person) is at a specified place and time (payment kiosk) before completing the transaction.
&lt;sup&gt;2&lt;/sup&gt; «Morton Code [https://en.wikipedia.org/wiki/Z-order\\_curve](https://en.wikipedia.org/wiki/Z-order_curve) (accessed 5 June 2023)»
#### &lt;span id="page-7-0"&gt;&lt;/span&gt;**Space-Time Global Conflation Frameworks**
Sensor data can be described by a sensor model for the sensor creating or collecting that data, which is standardized by the Open Geospatial Consortium (OGC). These standards can be enhanced to include QHC-based metadata. Entities exploited from sensor data can also be enhanced to include QHC-based metadata. Thus, regis…</t>
  </si>
  <si>
    <t xml:space="preserve">9a1aa276-a372-5d2b-b30b-3b3c934e0ec8</t>
  </si>
  <si>
    <t xml:space="preserve">excluded_reference</t>
  </si>
  <si>
    <t xml:space="preserve">reference</t>
  </si>
  <si>
    <t xml:space="preserve">span_last</t>
  </si>
  <si>
    <t xml:space="preserve">Health Data, Technology, and Interoperability: Certification Program Updates, Algorithm Transparency, and Information Sharing. (2023, April 18). Federal Register.</t>
  </si>
  <si>
    <t xml:space="preserve">[link] https://www.federalregister.gov/documents/2023/04/18/2023-07229/health-data-technology-and-interoperability-certification-program-updates-algorithm-transparency-and</t>
  </si>
  <si>
    <t xml:space="preserve">(2023, April 18).</t>
  </si>
  <si>
    <t xml:space="preserve">Federal Register.</t>
  </si>
  <si>
    <t xml:space="preserve">…kets ahead in vacuum of U.S. regulation*. Axios. &lt;https://www.axios.com/2023/01/30/ai-chatgpt-regulation-laws&gt;
Halley, C. (2022, February 23). *What Happens When Police Use AI to Predict and Prevent Crime?* JSTOR Daily[.](https://daily.jstor.org/what-happens-when-police-use-ai-to-predict-and-prevent-crime/)
&lt;https://daily.jstor.org/what-happens-when-police-use-ai-to-predict-and-prevent-crime/&gt;
«*Health Data, Technology, and Interoperability: Certification Program Updates, Algorithm Transparency, and Information Sharing*. (2023, April 18). ⟦Federal Register.⟧»
[https://www.federalregister.gov/documents/2023/04/18/2023-07229/health-data-technology-and-interoperability-certification-program-updat](https://www.federalregister.gov/documents/2023/04/18/2023-07229/health-data-technology-and-interoperability-certification-program-updates-algorithm-transparency-and) [es-algorithm-transparency-and](https://www.federalregister.gov/documents/2023/04/18/2023-0722…</t>
  </si>
  <si>
    <t xml:space="preserve">NA</t>
  </si>
  <si>
    <t xml:space="preserve">b9bbf475-2bba-53de-b00f-2bb5e42df006</t>
  </si>
  <si>
    <t xml:space="preserve">NTIA-2023-0005-0626</t>
  </si>
  <si>
    <t xml:space="preserve">NTIA/2023-07776/comments/comment_attachments/NTIA-2023-0005-0626_1.md</t>
  </si>
  <si>
    <t xml:space="preserve">single</t>
  </si>
  <si>
    <t xml:space="preserve">https://arxiv.org/pdf/2305.13860 "Jailbreaking ChatGPT via Prompt Engineering Empirical Study"</t>
  </si>
  <si>
    <t xml:space="preserve">[link] https://arxiv.org/pdf/2305.13860</t>
  </si>
  <si>
    <t xml:space="preserve">…om#we-shoulduse-assistive-ai-in-the-public-sector
https://ovic.vic.gov.au/privacy/resources-for-organisations/artificial-intelligence-and-privacyissues-and-challenges/?utm\_source=chatgpt.com
https://mitsloan.mit.edu/ideas-made-to-matter/machine-learning-explained
https://www.bloomberg.com/graphics/2023-generative-ai-bias/
https://hackread.com/europol-chatgpt-prompt-engineering-jailbreaking/
«⟦https://arxiv.org/pdf/2305.13860 "Jailbreaking ChatGPT via Prompt Engineering Empirical Study"⟧»</t>
  </si>
  <si>
    <t xml:space="preserve">ad841a79-cf55-5eec-add7-5075a55dea54</t>
  </si>
  <si>
    <t xml:space="preserve">AI-RFI-2025-1950</t>
  </si>
  <si>
    <t xml:space="preserve">NSF/2025-02305/comments/comment_attachments/AI-RFI-2025-1950_1.md</t>
  </si>
  <si>
    <t xml:space="preserve">What can one do with KEEL Technology: &lt;https://www.compsim.com/papers/What%20can%20one%20do%20with%20KEEL%20Technology.pdf&gt;</t>
  </si>
  <si>
    <t xml:space="preserve">[link] https://www.compsim.com/papers/What%20can%20one%20do%20with%20KEEL%20Technology.pdf</t>
  </si>
  <si>
    <t xml:space="preserve">What can one do with KEEL Technology:</t>
  </si>
  <si>
    <t xml:space="preserve">…tential threats that new approaches might present if deployed by an adversary. Presently within the government, there appears to be resistance to approaches that the reviewers are unfamiliar with (cognitive dissonance).
## **References:**
"Battlespace Automation" describes a fully automated battlespace hierarchy: &lt;https://www.compsim.com/news/News%20Release%20-%20Battlespace%20Automation.html&gt;
«⟦What can one do with KEEL Technology:⟧» &lt;https://www.compsim.com/papers/What%20can%20one%20do%20with%20KEEL%20Technology.pdf&gt;
Questions AI Must be able to answer:
&lt;https://www.compsim.com/publicpapers/Questions%20ai%20must%20be%20able%20to%20answer.pdf&gt;</t>
  </si>
  <si>
    <t xml:space="preserve">3fdd5616-3014-5b10-ae98-8ec966a82764</t>
  </si>
  <si>
    <t xml:space="preserve">KEEL-AI-RFI-2025</t>
  </si>
  <si>
    <t xml:space="preserve">NSF/2025-02305/comments/comment_attachments/KEEL-AI-RFI-2025_1.md</t>
  </si>
  <si>
    <t xml:space="preserve">link</t>
  </si>
  <si>
    <t xml:space="preserve">Wang, H., Fu, T., Du, Y., Gao, W., Huang, K., Liu, Z., Chandak, P., Liu, S., Van Katwyk, P., Deac, A., Anandkumar, A., Bergen, K., Gomes, C. P., Ho, S., Kohli, P., Lasenby, J., Leskovec, J., Liu, T.-Y., Manrai, A., … Zitnik, M. (2023, August 2). Scientific discovery in the age of Artificial Intelligence. Nature News. [nature.com/articles/s41586-023-06221-2](https://www.nature.com/articles/s41586-023-06221-2)</t>
  </si>
  <si>
    <t xml:space="preserve">[link] https://www.nature.com/articles/s41586-023-06221-2</t>
  </si>
  <si>
    <t xml:space="preserve">Nature News.</t>
  </si>
  <si>
    <t xml:space="preserve">nature.com/articles/s41586-023-06221-2</t>
  </si>
  <si>
    <t xml:space="preserve">…www.whitehouse.gov/briefing-room/presidential-actions/2023/10/30/executive-order-on-the-safe-secure-and-trustworthy-development-and-use-of-artificial-intelligence/)[trustworthy-development-and-use-of-artificial-intelligence/](https://www.whitehouse.gov/briefing-room/presidential-actions/2023/10/30/executive-order-on-the-safe-secure-and-trustworthy-development-and-use-of-artificial-intelligence/)
«Wang, H., Fu, T., Du, Y., Gao, W., Huang, K., Liu, Z., Chandak, P., Liu, S., Van Katwyk, P., Deac, A., Anandkumar, A., Bergen, K., Gomes, C. P., Ho, S., Kohli, P., Lasenby, J., Leskovec, J., Liu, T.-Y., Manrai, A., … Zitnik, M. (2023, August 2). Scientific discovery in the age of Artificial Intelligence. Nature News. ⟦[nature.com/articles/s41586-023-06221-2](https://www.nature.com/articles/s41586-023-06221-2)⟧»
Wojcik, H. (2024, February 13). Penn Engineering Announces First Ivy League undergraduate degree in Artificial Intelligence. Penn Engineering Blog. [blog.seas.upenn.edu/penn-engineering-announces-first-ivy-league-undergraduate-degree-in-artificial-intelligence/](https://blog.seas.upenn.edu/penn-engineering-announces-first-ivy-league-undergraduate-degree-in-artificial-intelligence/)
Yin, J., Das…</t>
  </si>
  <si>
    <t xml:space="preserve">02686d87-278a-5052-8dda-19e19f138dfd</t>
  </si>
  <si>
    <t xml:space="preserve">Pramod-Khargonekar-AI-RFI-2025</t>
  </si>
  <si>
    <t xml:space="preserve">NSF/2025-02305/comments/comment_attachments/Pramod-Khargonekar-AI-RFI-2025_1.md</t>
  </si>
  <si>
    <t xml:space="preserve">Gu, B. (2023, November 14). Optimizing Electronics Design with AI co-pilots. EE Times. [eetimes.com/optimizing-electronics-design-with-ai-co-pilots/](https://www.eetimes.com/optimizing-electronics-design-with-ai-co-pilots/)</t>
  </si>
  <si>
    <t xml:space="preserve">[link] https://www.eetimes.com/optimizing-electronics-design-with-ai-co-pilots/</t>
  </si>
  <si>
    <t xml:space="preserve">EE Times.</t>
  </si>
  <si>
    <t xml:space="preserve">eetimes.com/optimizing-electronics-design-with-ai-co-pilots/</t>
  </si>
  <si>
    <t xml:space="preserve">…ibuted Manufacturing: A Visioning Report, 2023. SSRN. dx.doi. org/10.2139/ssrn.4512398.
Engineering Research Visioning Alliance, Engineering Materials for a Sustainable Future: A Visioning Report, 2024. SSRN. dx.doi. org/10.2139/4663931.
Gao, J., &amp; Wang, D. (2023, April 17). Quantifying the benefit of Artificial Intelligence for Scientific Research. arXiv.org. https://arxiv.org/ abs/2304.10578
«Gu, B. (2023, November 14). Optimizing Electronics Design with AI co-pilots. EE Times. ⟦[eetimes.com/optimizing-electronics-design-with-ai-co-pilots/](https://www.eetimes.com/optimizing-electronics-design-with-ai-co-pilots/)⟧»
Kanarik, K. J., Osowiecki, W. T., Lu, Y. (Joe), Talukder, D., Roschewsky, N., Park, S. N., Kamon, M., Fried, D. M., &amp; Gottscho, R. A. (2023, March 8). Human–machine collaboration for Improving Semiconductor Process Development. Nature News. [nature.com/articles/s41586-023-05773-7](https://www.nature.com/articles/s41586-023-05773-7)
Kim, J. (2023, December 6). Google Deepmind's new AI tool helpe…</t>
  </si>
  <si>
    <t xml:space="preserve">fc57cfd4-c413-55a9-9911-fe9f7052b7f3</t>
  </si>
  <si>
    <t xml:space="preserve">"Battlespace Automation" describes a fully automated battlespace hierarchy: &lt;https://www.compsim.com/news/News%20Release%20-%20Battlespace%20Automation.html&gt;</t>
  </si>
  <si>
    <t xml:space="preserve">[link] https://www.compsim.com/news/News%20Release%20-%20Battlespace%20Automation.html</t>
  </si>
  <si>
    <t xml:space="preserve">"Battlespace Automation" describes a fully automated battlespace hierarchy:</t>
  </si>
  <si>
    <t xml:space="preserve">… for learning about those new approaches / methodologies / technologies so that they become aware of the potential benefits that can be provided, and/or the potential threats that new approaches might present if deployed by an adversary. Presently within the government, there appears to be resistance to approaches that the reviewers are unfamiliar with (cognitive dissonance).
## **References:**
«⟦"Battlespace Automation" describes a fully automated battlespace hierarchy:⟧» &lt;https://www.compsim.com/news/News%20Release%20-%20Battlespace%20Automation.html&gt;
What can one do with KEEL Technology: &lt;https://www.compsim.com/papers/What%20can%20one%20do%20with%20KEEL%20Technology.pdf&gt;
Questions AI Must be able to answer:
&lt;https://www.compsim.com/publicpapers/Questions%20ai%20must%20be%20able%20to%20answer.pdf&gt;</t>
  </si>
  <si>
    <t xml:space="preserve">bf5183f7-8c7f-5afa-bf30-704167ebe4bc</t>
  </si>
  <si>
    <t xml:space="preserve">Thite NG, Ghazvini S, Wallace N, Feldman N, Calderon CP, Randolph TW. Journal of Pharmaceutical Sciences. July 2023. https://doi.org/10.1016/j.xphs.2023.07.010</t>
  </si>
  <si>
    <t xml:space="preserve">[link] https://doi.org/10.1016/j.xphs.2023.07.010</t>
  </si>
  <si>
    <t xml:space="preserve">Journal of Pharmaceutical Sciences.</t>
  </si>
  <si>
    <t xml:space="preserve">July 2023. https://doi.org/10.1016/j.xphs.2023.07.010</t>
  </si>
  <si>
    <t xml:space="preserve">https://doi.org/10.1016/j.xphs.2023.07.010</t>
  </si>
  <si>
    <t xml:space="preserve">…ting Precision Limits of Neural Network-Based Quality Control Metrics in High-Throughput Digital Microscopy) shown below. The summary was published in advance of the FDA request for feedback on machine learning and AI in pharmaceutical development and manufacturing.
 Interfacial Adsorption Controls Particle Formation in Antibody Formulations Subjected to Extensional Flows and Hydrodynamic Shear
«Thite NG, Ghazvini S, Wallace N, Feldman N, Calderon CP, Randolph TW. Journal of Pharmaceutical Sciences. ⟦July 2023. https://doi.org/10.1016/j.xphs.2023.07.010⟧»
### ABSTRACT
During their manufacturing and delivery to patients, therapeutic proteins are commonly exposed to various interfaces and to hydrodynamic shear forces. Although adsorption of proteins to solid−liquid interfaces is known to foster formation of protein aggregates and particles, the impact of shear remains controversial, in part because of experimental challenges in separating the effe…</t>
  </si>
  <si>
    <t xml:space="preserve">cc5db2f8-21ef-5e90-8318-f1ae4412894c</t>
  </si>
  <si>
    <t xml:space="preserve">FDA-2023-N-0487-0047</t>
  </si>
  <si>
    <t xml:space="preserve">FDA/2023-04206/comments/comment_attachments/FDA-2023-N-0487-0047_1.md</t>
  </si>
  <si>
    <t xml:space="preserve">We recommend reviewing Moss et al. (2021), which outlines "10 constitutive components" of supporting accountability in impact assessments.</t>
  </si>
  <si>
    <t xml:space="preserve">[reference] Moss et al. (2021)</t>
  </si>
  <si>
    <t xml:space="preserve">We recommend that NIST include guidance on governance processes to support the successful implementation of the AI RMF.</t>
  </si>
  <si>
    <t xml:space="preserve">NIST should provide guidance on ways to support accountability in the implementation of the RMF (e.g., suggesting personnel/management levels that will implement and oversee the RMF process).</t>
  </si>
  <si>
    <t xml:space="preserve">…terprise that reviews applications that would use their AI platform, and disallows unacceptable categories of use cases, see OpenAI (2020).
Assessment frameworks that address this include explorations of the problem of "trustworthy" mechanisms for verifying development claims and Z-inspection as a domain-specific approach to risk diagnostics. See Brundage et al. (2020) and Zicari et al. (2021).
We recommend that NIST include guidance on governance processes to support the successful implementation of the AI RMF. «⟦We recommend reviewing Moss et al. (2021), which outlines "10 constitutive components" of supporting accountability in impact assessments.⟧» NIST should provide guidance on ways to support accountability in the implementation of the RMF (e.g., suggesting personnel/management levels that will implement and oversee the RMF process).
We suggest NIST also consider providing guidance on the makeup of the design and development teams, e.g. according to the diagnostic, formalizer, rebuttal, and synecdoche roles (or at least on the relative importance of those roles in particular use cases) outlined in Abebe et al. (2020).
With AI systems growing increasingly complex, it becomes more difficult to assess whether an AI system cons…</t>
  </si>
  <si>
    <t xml:space="preserve">18be9d63-1b78-5e69-aff7-7cd7dd3fee8d</t>
  </si>
  <si>
    <t xml:space="preserve">NIST-2021-0004-0123</t>
  </si>
  <si>
    <t xml:space="preserve">NIST/2021-16176/comments/comment_attachments/NIST-2021-0004-0123_1.md</t>
  </si>
  <si>
    <t xml:space="preserve">Statement on Artificial Intelligence for American Industry, May 10, 2018</t>
  </si>
  <si>
    <t xml:space="preserve">[link] https://www.nsf.gov/news/news_summ.jsp?cntn_id=245418</t>
  </si>
  <si>
    <t xml:space="preserve">…nformation-on-update-to-the-2016-national-artificial-intelligence-research-and) Sept. 26, 2018
- [A New NITRD IWG for AI R&amp;D,](https://www.nitrd.gov/news/new-nitrd-ai-rd-iwg.aspx) July 2, 2018
- [Summary of the 2018 White House Summit on Artificial Intelligence for American Industry,](https://www.whitehouse.gov/wp-content/uploads/2018/05/Summary-Report-of-White-House-AI-Summit.pdf) May 10, 2018
- «⟦[Statement on Artificial Intelligence for American Industry,](https://www.nsf.gov/news/news_summ.jsp?cntn_id=245418) May 10, 2018⟧»
- [Testimony of Dr. Jim Kurose, CISE AD, before the Subcommittee on Information Technology for the](https://www.nsf.gov/about/congress/115/jk_houseoversight_ai_180307.pdf)  [Committee on Oversight and Government Reform, U.S. House of Representatives,](https://www.nsf.gov/about/congress/115/jk_houseoversight_ai_180307.pdf) March 7, 2018
- [Remarks of Dr. France Córdova, NSF Director, at the NVIDIA…</t>
  </si>
  <si>
    <t xml:space="preserve">2cad6fc8-757f-5e6d-9572-0d48d15011b0</t>
  </si>
  <si>
    <t xml:space="preserve">NIST-2021-0004-0093</t>
  </si>
  <si>
    <t xml:space="preserve">NIST/2021-16176/comments/comment_attachments/NIST-2021-0004-0093_1.md</t>
  </si>
  <si>
    <t xml:space="preserve">West S, Whittaker M, Crawford K. Discriminating Systems: Gender, Race and Power in AI. AI Now Institute. 2019. Retrieved from: https://ainowinstitute.org/discriminatingsystems.html.</t>
  </si>
  <si>
    <t xml:space="preserve">[reference] West S, Whittaker M, Crawford K. Discriminating Systems: Gender, Race and Power in AI. AI Now Institute. 2019. Retrieved from: https://ainowinstitute.org/discriminatingsystems.html.
[link] https://ainowinstitute.org/discriminatingsystems.html.</t>
  </si>
  <si>
    <t xml:space="preserve">AI Now Institute.</t>
  </si>
  <si>
    <t xml:space="preserve">2019. Retrieved from: https://ainowinstitute.org/discriminatingsystems.html.</t>
  </si>
  <si>
    <t xml:space="preserve">….
- 11. Howard A, Borenstein J. The Ugly Truth About Ourselves and Our Robot Creations: The Problem of Bias and Social Inequity. Sci Eng Ethics. 2018Oct;24(5):1521‐1536.
- 12. Stylianou N. Ethics must be at centre of AI technology, says Lords report. Retrieved from: https://news.sky.com/story/ethics‐must‐be‐at‐centre‐of‐ai‐technology‐says‐lords‐report‐11333333. Date accessed: December 15, 2018.
- «13. West S, Whittaker M, Crawford K. Discriminating Systems: Gender, Race and Power in AI. AI Now Institute. ⟦2019. Retrieved from: https://ainowinstitute.org/discriminatingsystems.html.⟧»
- 14. AI Now. Algorithmic Accountability Policy Toolkit. 2018. Retrieved from: https://ainowinstitute.org/aap‐ toolkit.html.
- 15. IBM AI Fairness 360 Toolkit. 2018. Retrieved from: https://github.com/IBM/AIF360.</t>
  </si>
  <si>
    <t xml:space="preserve">1cef055d-dd08-5d1c-a8b0-c6fa87445e73</t>
  </si>
  <si>
    <t xml:space="preserve">NIST-2019-0001-0039</t>
  </si>
  <si>
    <t xml:space="preserve">NIST/2019-08818/comments/comment_attachments/NIST-2019-0001-0039_1.md</t>
  </si>
  <si>
    <t xml:space="preserve">3 Investigating machine moral judgement through the Delphi experiment - Published: 13 January 2025 | Jiang, L., Hwang, J.D., Bhagavatula, C. et al. Investigating machine moral judgement through the Delphi experiment. Nat Mach Intell 7, 145-160 (2025). [https://doi.org/10.1038/s42256-024-](https://doi.org/10.1038/s42256-024-00969-6) [00969-6](https://doi.org/10.1038/s42256-024-00969-6) | Issue Date January 2025 &lt;https://rdcu.be/d76iW&gt;</t>
  </si>
  <si>
    <t xml:space="preserve">[link] https://doi.org/10.1038/s42256-024-00969-6</t>
  </si>
  <si>
    <t xml:space="preserve">Investigating machine moral judgement through the Delphi experiment.</t>
  </si>
  <si>
    <t xml:space="preserve">Nat Mach Intell 7, 145–160 (2025). https://doi.org/10.1038/s42256-024- 00969-6 Issue Date January 2025</t>
  </si>
  <si>
    <t xml:space="preserve">https://doi.org/10.1038/s42256-024- 00969-6 Issue Date January 2025</t>
  </si>
  <si>
    <t xml:space="preserve">…neral Intelligence)? &lt;https://aws.amazon.com/what-is/artificial-general-intelligence&gt;
**&lt;sup&gt;2&lt;/sup&gt;**Why AI is incredibly smart and shockingly stupid - Yejin Choi |TED2023 • April 2023 | [https://www.ted.com/talks/yejin\\_choi\\_why\\_ai\\_is\\_incredibly\\_smart\\_and\\_shockingly\\_stupid](https://www.ted.com/talks/yejin_choi_why_ai_is_incredibly_smart_and_shockingly_stupid)
**&lt;sup&gt;3&lt;/sup&gt;** «Investigating machine moral judgement through the Delphi experiment - Published: 13 January 2025 | Jiang, L., Hwang, J.D., Bhagavatula, C. et al. Investigating machine moral judgement through the Delphi experiment. ⟦Nat Mach Intell 7, 145–160 (2025). [https://doi.org/10.1038/s42256-024-](https://doi.org/10.1038/s42256-024-00969-6) [00969-6](https://doi.org/10.1038/s42256-024-00969-6) | Issue Date January 2025⟧» &lt;https://rdcu.be/d76iW&gt;
**&lt;sup&gt;4&lt;/sup&gt;** Reflections on Putting AI Ethics into Practice: How Three AI Ethics Approaches Conceptualize Theory and Practice | Bleher, H., Braun, M. Reflections on Putting AI Ethics into Practice: How Three AI Ethics Approaches Conceptualize Theory and Practice. Sci Eng Ethics 29, 21 (2023). &lt;https://doi.org/10.1007/s11948-023-00443-3&gt;
**&lt;sup&gt;5&lt;/sup&gt;** Machines Lear…</t>
  </si>
  <si>
    <t xml:space="preserve">46e75da2-44ad-5bdb-8f7d-06bf4e066232</t>
  </si>
  <si>
    <t xml:space="preserve">Kimberly-Rudman-AI-RFI-2025</t>
  </si>
  <si>
    <t xml:space="preserve">NSF/2025-02305/comments/comment_attachments/Kimberly-Rudman-AI-RFI-2025_1.md</t>
  </si>
  <si>
    <t xml:space="preserve">Weber C. Engineering Bias in AI. IEEE Pulse. 2019 Jan‐Feb;10(1):15‐17.</t>
  </si>
  <si>
    <t xml:space="preserve">[reference] Weber C. Engineering Bias in AI. IEEE Pulse. 2019 Jan‐Feb;10(1):15‐17.</t>
  </si>
  <si>
    <t xml:space="preserve">IEEE Pulse.</t>
  </si>
  <si>
    <t xml:space="preserve">2019 Jan‐Feb;10(1):15‐17.</t>
  </si>
  <si>
    <t xml:space="preserve">…r 6, 2016).
- 4. Lohr S. Facial Recognition Is Accurate, if You're a White Guy. New York Times. February 9, 2018. Retrieved from: https://www.nytimes.com/2018/02/09/technology/facial‐recognition‐race‐artificial‐intelligence.html.
- 5. Ho CWL, Soon D, Caals K, Kapur J. Governance of automated image analysis and artificial intelligence analytics in healthcare. Clin Radiol. 2019 May;74(5):329‐337.
- «6. Weber C. Engineering Bias in AI. IEEE Pulse. ⟦2019 Jan‐Feb;10(1):15‐17.⟧»
- 7. McDougall RJ. Computer knows best? The need for value‐flexibility in medical AI. J Med Ethics. 2019 Mar;45(3):156‐160.
- 8. Cath C. Governing artificial intelligence: ethical, legal and technical opportunities and challenges. Philos Trans A Math Phys Eng Sci. 2018 Oct15;376(2133).
- 9. Zou J, Schiebinger L. AI can be sexist and racist ‐ it's time to make it fair. Nature. 2018 Jul;559(7714):3…</t>
  </si>
  <si>
    <t xml:space="preserve">d7b4f0c2-3f39-5caf-8fd3-6a619e8b02fb</t>
  </si>
  <si>
    <t xml:space="preserve">For discussion of AI generality, see e.g. Bommasani et al. (2021).</t>
  </si>
  <si>
    <t xml:space="preserve">[reference] Bommasani et al. (2021)</t>
  </si>
  <si>
    <t xml:space="preserve">If an AI has not undergone any assessment of its generality, that would suggest lower trustworthiness.</t>
  </si>
  <si>
    <t xml:space="preserve">If assessment indicates high generality of an AI, we expect it would be appropriate to conduct more in-depth risk assessment, more assessment of use cases beyond the originally intended use cases, longer time horizons in risk assessment, more continuing assessment, etc. (Ideally, a generality assessment process would be quick and low-cost for the majority of AI with low generality, while accurately identifying the smaller number of AI with high generality.) For discussion of AI generality, see e.g. Bommasani et al. (2021).</t>
  </si>
  <si>
    <t xml:space="preserve">…t example of technical work in this direction, see Hadfield-Menell et al. (2016).
We suggest that NIST consider "assessment of generality" (i.e., assessment of the breadth of AI applicability/adaptability) as another important characteristic affecting trustworthiness of an AI system, or perhaps as a factor affecting one or more of the AI trustworthiness characteristics NIST has already outlined. If an AI has not undergone any assessment of its generality, that would suggest lower trustworthiness. «⟦If assessment indicates high generality of an AI, we expect it would be appropriate to conduct more in-depth risk assessment, more assessment of use cases beyond the originally intended use cases, longer time horizons in risk assessment, more continuing assessment, etc. (Ideally, a generality assessment process would be quick and low-cost for the majority of AI with low generality, while accurately identifying the smaller number of AI with high generality.) For discussion of AI generality, see e.g. Bommasani et al. (2021).⟧»
For definitions of explainability, it is important to understand how the term has been used differently by various stakeholders and how in practice it has often failed to meet its objectives (Newman 2021). The definition of fairness is similarly contested (Mulligan et al. 2019).
In the definition of terms such as explainability, it is critical to consult with a diverse set of stakeholders to ac…</t>
  </si>
  <si>
    <t xml:space="preserve">107f4686-bcfa-53d5-a569-f607fcb60e5b</t>
  </si>
  <si>
    <t xml:space="preserve">Birhane, A., Kasirzadeh, A., Leslie, D., &amp; Wachter, S. (2023, April 26). Science in the age of large language models. Nature News. [nature.com/](https://www.nature.com/articles/s42254-023-00581-4) [articles/s42254-023-00581-4](https://www.nature.com/articles/s42254-023-00581-4)</t>
  </si>
  <si>
    <t xml:space="preserve">[link] https://www.nature.com/articles/s42254-023-00581-4</t>
  </si>
  <si>
    <t xml:space="preserve">nature.com/ articles/s42254-023-00581-4</t>
  </si>
  <si>
    <t xml:space="preserve">…intelligence augmentation, and skill premiums. National Bureau of Economic Research. [nber.org/papers/w31767](https://www.nber.org/papers/w31767)
Artificial Intelligence in science. OECD iLibrary. (2023). [oecd-ilibrary.org/science-and-technology/artificial-intelligence-in-science\\_a8d820bd-en](https://www.oecd-ilibrary.org/science-and-technology/artificial-intelligence-in-science_a8d820bd-en)
«Birhane, A., Kasirzadeh, A., Leslie, D., &amp; Wachter, S. (2023, April 26). Science in the age of large language models. Nature News. ⟦[nature.com/](https://www.nature.com/articles/s42254-023-00581-4) [articles/s42254-023-00581-4](https://www.nature.com/articles/s42254-023-00581-4)⟧»
Carter, J., Feddema, J., Kothe, D., Neely, R., Pruet, J., Stevens, R., Balaprakash, P., Beckman, P., Foster, I., Iskra, K., Ramanathan, A., Taylor, V., Thakur, R., Agarwal, D., Crivelli, S., de Jong, B., Rouson, D., Sohn, M., Wetter, M., … Dietrich, E. M. (2023, May 1). Advanced Research Directions on AI for science, energy, and security: Report on Summer 2022 workshops. (Technical Report) | OST…</t>
  </si>
  <si>
    <t xml:space="preserve">e129d9c1-8d83-5f3e-8b49-4729e0f0e27f</t>
  </si>
  <si>
    <t xml:space="preserve">The AI industry is increasingly adopting-at least in concept, though not in execution-model cards based on the work of Gebru et al (2018)11, Bender &amp; Friedman (2018)12, and Mitchell et al. (2019b)13.</t>
  </si>
  <si>
    <t xml:space="preserve">[link] https://www.fatml.org/media/documents/datasheets</t>
  </si>
  <si>
    <t xml:space="preserve">The AI industry is increasingly adopting—at least in concept, though not in execution—model cards based on the work of Gebru et al (2018), Bender &amp; Friedman (2018), and Mitchell et al. (2019b).</t>
  </si>
  <si>
    <t xml:space="preserve">An annotated model card template is available at Hugging Face, where Mitchell is Chief Ethics Scientist.</t>
  </si>
  <si>
    <t xml:space="preserve">…io/10176629&lt;/a&gt;
&lt;sup&gt;&amp;&lt;/sup&gt;lt;sup&gt;7&lt;/sup&gt; A survey of the literature is available at
https://huggingface.co/docs/hub/model-card-landscape-analysis
&lt;sup&gt;8&lt;/sup&gt; https://modelcards.withgoogle.com/about
&lt;sup&gt;&amp;&lt;/sup&gt;lt;sup&gt;9&lt;/sup&gt; PaLM 2 Technical Report, Section E.10
https://ai.googleblog.com/2020/07/introducing-model-card-toolkit-for.html
https://huggingface.co/docs/hub/model-card-guidebook
«⟦The AI industry is increasingly adopting—at least in concept, though not in execution—model cards based on the work of Gebru et al (2018)&lt;sup&gt;11&lt;/sup&gt;, Bender &amp; Friedman (2018)&lt;sup&gt;12&lt;/sup&gt;, and Mitchell et al. (2019b)&lt;sup&gt;13&lt;/sup&gt;.⟧» An annotated model card template is available at Hugging Face, where Mitchell is Chief Ethics Scientist.&lt;sup&gt;14&lt;/sup&gt; TensorFlow, a Google project, includes a model card toolkit.&lt;sup&gt;15&lt;/sup&gt; IBM has proposed "FactSheets," inspired by supplier's declarations of conformity that are common in business-to-business transactions, that "contain purpose, performance, safety, security, and provenance information to be completed by AI service providers for examination by consumers."&lt;sup&gt;16&lt;/sup&gt;
Unfortunately, although …</t>
  </si>
  <si>
    <t xml:space="preserve">50456f9e-a03b-5820-b1df-37a6f6a133d0</t>
  </si>
  <si>
    <t xml:space="preserve">NTIA-2023-0005-1272</t>
  </si>
  <si>
    <t xml:space="preserve">NTIA/2023-07776/comments/comment_attachments/NTIA-2023-0005-1272_1.md</t>
  </si>
  <si>
    <t xml:space="preserve">Pause Giant AI Experiments: An Open Letter-Future of Life Institute. (n.d.). Retrieved April 26, 2023, from &lt;https://futureoflife.org/open-letter/pause-giant-ai-experiments/&gt;</t>
  </si>
  <si>
    <t xml:space="preserve">[link] https://futureoflife.org/open-letter/pause-giant-ai-experiments/</t>
  </si>
  <si>
    <t xml:space="preserve">Pause Giant AI Experiments: An Open Letter—Future of Life Institute.</t>
  </si>
  <si>
    <t xml:space="preserve">(n.d.). Retrieved April 26, 2023, from</t>
  </si>
  <si>
    <t xml:space="preserve">…e-of-biggest-problems-in-regulating-ai-is-agreeing-on-definition-pub-88100&gt;
*Our quick guide to the 6 ways we can regulate AI*. (n.d.). MIT Technology Review. Retrieved May 27, 2023, fro[m](https://www.technologyreview.com/2023/05/22/1073482/our-quick-guide-to-the-6-ways-we-can-regulate-ai/)
&lt;https://www.technologyreview.com/2023/05/22/1073482/our-quick-guide-to-the-6-ways-we-can-regulate-ai/&gt;
«*Pause Giant AI Experiments: An Open Letter—Future of Life Institute*. ⟦(n.d.). Retrieved April 26, 2023, from⟧» &lt;https://futureoflife.org/open-letter/pause-giant-ai-experiments/&gt;
- *Pausing AI development would be a mistake. Congress shouldn't meddle – for now.* (n.d.). USA TODAY. Retrieved May 27, 2023, from &lt;https://www.usatoday.com/story/opinion/2023/05/22/ai-pause-mistake-us-tech/70235637007/&gt;
- Pearson, B. (n.d.). *The Soup Has a Familiar Face: How Artificial Intelligence Is Changing Kroger, Walgreen…</t>
  </si>
  <si>
    <t xml:space="preserve">c4da62ae-92d0-58dc-b884-c48c72e64202</t>
  </si>
  <si>
    <t xml:space="preserve">marker</t>
  </si>
  <si>
    <t xml:space="preserve">Raji, I. D., Smart, A., White, R. N., Mitchell, M., Gebru, T., Hutchinson, B., Smith-Loud, J., Theron, D., &amp; Barnes, P., FAT* '20: Proceedings of the 2020 Conference on Fairness, Accountability, and Transparency, (January 2020): 33-44, https://doi.org/10.1145/3351095.3372873.</t>
  </si>
  <si>
    <t xml:space="preserve">[link] https://doi.org/10.1145/3351095.3372873.</t>
  </si>
  <si>
    <t xml:space="preserve">Raji, I. D., Smart, A., White, R. N., Mitchell, M., Gebru, T., Hutchinson, B., Smith-Loud, J., Theron, D., &amp; Barnes, P., FAT '20: Proceedings of the 2020 Conference on Fairness, Accountability, and Transparency, (January 2020): 33–44, https://doi.</t>
  </si>
  <si>
    <t xml:space="preserve">org/10.1145/3351095.3372873.</t>
  </si>
  <si>
    <t xml:space="preserve">…Luke Stark, Jennifer Wortman Vaughan, and Hanna Wallach, CHI '20: Proceedings of the 2020 CHI Conference on Human Factors in Computing Systems (April 2020): 1–14, [https://doi.](https://doi.org/10.1145/3313831.3376445) [org/10.1145/3313831.3376445.](https://doi.org/10.1145/3313831.3376445)
## *Closing the AI Accountability Gap: Defining an End-to-End Framework for Internal Algorithmic Auditing*
«⟦Raji, I. D., Smart, A., White, R. N., Mitchell, M., Gebru, T., Hutchinson, B., Smith-Loud, J., Theron, D., &amp; Barnes, P., FAT\* '20: Proceedings of the 2020 Conference on Fairness, Accountability, and Transparency, (January 2020): 33–44, [https://doi.](https://doi.org/10.1145/3351095.3372873)⟧ [org/10.1145/3351095.3372873.](https://doi.org/10.1145/3351095.3372873)»
## *Supervisory Guidance on Model Risk Management*
US Federal Reserve Board (April 2011), [https://](https://www.federalreserve.gov/supervisionreg/srletters/sr1107a1.pdf) [www.federalreserve.gov/supervisionreg/srletters/](https://www.federalreserve.gov/supervisionreg/srletters/sr1107a1.pdf) [sr1107a1.pdf](https://www.federalreserve.gov/supervisionreg/srletters/sr1107a1.pdf).
*Understanding Art…</t>
  </si>
  <si>
    <t xml:space="preserve">039ec18a-7fc2-5a14-9e0c-a7f50ec9a5f9</t>
  </si>
  <si>
    <t xml:space="preserve">NIST-2021-0004-0045</t>
  </si>
  <si>
    <t xml:space="preserve">NIST/2021-16176/comments/comment_attachments/NIST-2021-0004-0045_1.md</t>
  </si>
  <si>
    <t xml:space="preserve">Why Amazon's Automated Hiring Tool Discriminated Against Women | ACLU. (2018, October 12). American Civil Liberties Union.</t>
  </si>
  <si>
    <t xml:space="preserve">[link] https://www.aclu.org/news/womens-rights/why-amazons-automated-hiring-tool-discriminated-against</t>
  </si>
  <si>
    <t xml:space="preserve">(2018, October 12).</t>
  </si>
  <si>
    <t xml:space="preserve">American Civil Liberties Union.</t>
  </si>
  <si>
    <t xml:space="preserve">…9985/using-artificial-intelligence-and-machine-learning-in-the-development-of-drug-and-biological)
*What is Artificial Intelligence (AI) ? | IBM*. (n.d.). Retrieved June 3, 2023, from &lt;https://www.ibm.com/topics/artificial-intelligence&gt;
Wheeler, T. (2019, October 31). History's message about regulating AI. *Brookings*.
&lt;https://www.brookings.edu/research/historys-message-about-regulating-ai/&gt;
«Why Amazon's Automated Hiring Tool Discriminated Against Women | ACLU. (2018, October 12). ⟦*American Civil Liberties Union*[.](https://www.aclu.org/news/womens-rights/why-amazons-automated-hiring-tool-discriminated-against)⟧»
&lt;https://www.aclu.org/news/womens-rights/why-amazons-automated-hiring-tool-discriminated-against&gt;
Wiggers, K. (2023, January 27). The current legal cases against generative AI are just the beginning. *TechCrunch*.
&lt;https://techcrunch.com/2023/01/27/the-current-legal-cases-against-generative-ai-are-just-the-beginning/&gt;
Wu, Z., Yang, Y., Zhao, J., &amp; Wu, Y. (2022). The Impact of Algorithmic Pric…</t>
  </si>
  <si>
    <t xml:space="preserve">c323ff34-5263-5899-8ab9-48c222bc316b</t>
  </si>
  <si>
    <t xml:space="preserve">Mitchell M, Wu S, Zaldivar A, Barnes P, Vasserman L, Hutchinson B, Spitzer E, Raji ID, Gebru T (2019) Model Cards for Model Reporting, in Conference on Fairness, Accountability, and Transparency 2019, January 29-31, 2019, Atlanta, GA, USA. ACM, https://doi.org/10.1145/3287560</t>
  </si>
  <si>
    <t xml:space="preserve">[link] https://doi.org/10.1145/3287560</t>
  </si>
  <si>
    <t xml:space="preserve">Transparency 2019, January 29–31, 2019, Atlanta, GA, USA.</t>
  </si>
  <si>
    <t xml:space="preserve">ACM, https://doi.org/10.1145/3287560</t>
  </si>
  <si>
    <t xml:space="preserve">…tandards.ieee.org/industry-connections/ecpais.html
ISO (2021) ISO/IEC CD 23894.2 Information Technology — Artificial Intelligence — Risk Management, [https://www.iso.org/standard/77304.html](https://www.iso.org/standard/77304.html?browse=tc)
Microsoft (2020) Foundations of assessing harm, Microsoft, https://docs.microsoft.com/enus/azure/architecture/guide/responsible-innovation/harms-modeling/
«Mitchell M, Wu S, Zaldivar A, Barnes P, Vasserman L, Hutchinson B, Spitzer E, Raji ID, Gebru T (2019) Model Cards for Model Reporting, in *Conference on Fairness, Accountability, and* 
*Transparency 2019*, January 29–31, 2019, Atlanta, GA, USA. ⟦ACM, https://doi.org/10.1145/3287560⟧»
Nativi S and De Nigris S (2021) AI Watch: AI Standardisation Landscape state of play and link to the EC proposal for an AI regulatory framework, EUR 30772 EN, Publications Office of the European Union, Luxembourg, 2021, ISBN 978-92-76-40325-8, doi:10.2760/376602, JRC125952
Paullada A, Raji ID, Bender EM, Denton E, and Hanna A (2020) Data and its (dis)contents: A survey of dataset development an…</t>
  </si>
  <si>
    <t xml:space="preserve">e276a74c-636c-5ae0-b002-603eb6a8ab4a</t>
  </si>
  <si>
    <t xml:space="preserve">10 "Liberty Its Use and Abuse" (Third Revised Edition) published in 1946 by Fordham University Press, 1946 (Ignatius W. Cox, S.J., Ph.D" | Link to a digitized Copy of which I own the original hard copy. &lt;https://acrobat.adobe.com/id/urn:aaid:sc:VA6C2:7845c07a-fee7-46a8-965a-3b6516386440&gt;</t>
  </si>
  <si>
    <t xml:space="preserve">[link] https://acrobat.adobe.com/id/urn:aaid:sc:VA6C2:7845c07a-fee7-46a8-965a-3b6516386440&gt;</t>
  </si>
  <si>
    <t xml:space="preserve">"Liberty Its Use and Abuse" (Third Revised Edition) published in 1946 by Fordham University Press, 1946 (Ignatius W. Cox, S.J., Ph.D" Link to a digitized Copy of which I own the original hard copy.</t>
  </si>
  <si>
    <t xml:space="preserve">…Marchal and Rachel Xu. &lt;https://deepmind.google/discover/blog/mapping-the-misuse-of-generative-ai/&gt;
**&lt;sup&gt;9&lt;/sup&gt;**LINKEDIn article titled, "Driving Adoption: Using the OSI Model to Evaluate Large Language Models' Readiness" | May 16, 2023, Bimal Maharjan of Gutsphere, Inc |&lt;https://www.linkedin.com/pulse/driving-adoption-using-osi-model-evaluate-large-models-bimal-maharjan/&gt;
**&lt;sup&gt;10&lt;/sup&gt;** «⟦"Liberty Its Use and Abuse" (Third Revised Edition) published in 1946 by Fordham University Press, 1946 (Ignatius W. Cox, S.J., Ph.D" | Link to a digitized Copy of which I own the original hard copy.⟧» &lt;https://acrobat.adobe.com/id/urn:aaid:sc:VA6C2:7845c07a-fee7-46a8-965a-3b6516386440&gt;
**&lt;sup&gt;11&lt;/sup&gt;**University of Texas, Computer Science Dept. article, Titled, "The Importance of Ethics in Computer Science Posted by Bettina Mateo and Lauren Cotton | February 18, 2022" | &lt;https://www.cs.utexas.edu/news/2022/importance-ethics-computer-science&gt;
&lt;span id="page-12-0"&gt;&lt;/span&gt;**&lt;sup&gt;1&lt;/sup&gt;**What …</t>
  </si>
  <si>
    <t xml:space="preserve">449f43cd-cece-5e7b-bfd7-e84719aff552</t>
  </si>
  <si>
    <t xml:space="preserve">in_scope_ref_like</t>
  </si>
  <si>
    <t xml:space="preserve">in_scope</t>
  </si>
  <si>
    <t xml:space="preserve">body</t>
  </si>
  <si>
    <t xml:space="preserve">exact</t>
  </si>
  <si>
    <t xml:space="preserve">Reference: General Data Protection Regulation (GDPR - EU), OECD AI Principles (2023)</t>
  </si>
  <si>
    <t xml:space="preserve">[reference] General Data Protection Regulation (GDPR - EU)</t>
  </si>
  <si>
    <t xml:space="preserve">Uses of AI-powered privacy-preserving strategies like differential privacy and federated learning.</t>
  </si>
  <si>
    <t xml:space="preserve">Reference: General Data Protection Regulation (GDPR – EU), OECD AI Principles (2023)</t>
  </si>
  <si>
    <t xml:space="preserve">… policy should be balanced, protecting civil freedom without placing undue restrictions that hinder progress in the private sector.
# **Policy Actions:**
- To safeguard user data while permitting responsible AI innovation, robust AI privacy legislation should be introduced.
- Demand that companies creating AI follow moral data sourcing guidelines to guarantee adherence to privacy regulations.
- Uses of AI-powered privacy-preserving strategies like differential privacy and federated learning.
«⟦**Reference:** General Data Protection Regulation (GDPR – EU), OECD AI Principles (2023)⟧»
# **6. AI Research and Workforce Development**
- **Expand AI Education and Workforce Training:** Universities and technical colleges must receive more money for their AI education and research initiatives.
- **Attract Global AI Talent:** To be competitive, the US should make it easier for entrepreneurs and AI experts to obtain visas.
# **Policy Actions:**
• To give workers and students the sk…</t>
  </si>
  <si>
    <t xml:space="preserve">df83724f-0a21-55ca-920b-af6ec4eb52ac</t>
  </si>
  <si>
    <t xml:space="preserve">Abdulganiyu-Jimoh-AI-RFI-2025</t>
  </si>
  <si>
    <t xml:space="preserve">NSF/2025-02305/comments/comment_attachments/Abdulganiyu-Jimoh-AI-RFI-2025_1.md</t>
  </si>
  <si>
    <t xml:space="preserve">Mark Zuckerburg laid out a vision of Meta open [sourcing](https://www.theverge.com/2024/1/18/24042354/mark-zuckerberg-meta-agi-reorg-interview) the models all the way to AGI.</t>
  </si>
  <si>
    <t xml:space="preserve">[link] https://www.theverge.com/2024/1/18/24042354/mark-zuckerberg-meta-agi-reorg-interview</t>
  </si>
  <si>
    <t xml:space="preserve">Some AI developers have strong commitments to open source.</t>
  </si>
  <si>
    <t xml:space="preserve">Mark Zuckerburg laid out a vision of Meta open sourcing the models all the way to AGI.</t>
  </si>
  <si>
    <t xml:space="preserve">This means that some AI developers may widely release AI model weights despite financial cost or substantial risk to public safety.</t>
  </si>
  <si>
    <t xml:space="preserve">…ng-hardware) gets [cheaper](https://epochai.org/blog/trends-in-machine-learning-hardware) over time. The unlabeled x's represent our all-things-considered best estimate for the compute used in the largest closed training run over the next several years. Over the next two years, this is a linear extrapolation from the past, and after that we adjust downward to account for running out of hardware.
**Some AI developers have strong commitments to open source.** «⟦Mark Zuckerburg laid out a vision of Meta open [sourcing](https://www.theverge.com/2024/1/18/24042354/mark-zuckerberg-meta-agi-reorg-interview) the models all the way to AGI.⟧» This means that some AI developers may widely release AI model weights despite financial cost or substantial risk to public safety. This underscores the need for regulation: model developers may not take appropriate safeguards on their own.
**Feedback loops from closed source AI R&amp;D could extend lead times.**
&lt;sup&gt;4&lt;/sup&gt; Google had 110B cash on hand in [December](https://companiesmarketcap.com/alphabet-google/cash-on-hand/#:~:text=Cash%20on%20Hand%20as%20of,in%20cash%20and%20cash%20equivalents.) 2023.
&lt;sup&gt;5&lt;/sup&gt; A rough…</t>
  </si>
  <si>
    <t xml:space="preserve">6410d863-25c2-52d2-9ab9-f90d4846e576</t>
  </si>
  <si>
    <t xml:space="preserve">NTIA-2023-0009-0224</t>
  </si>
  <si>
    <t xml:space="preserve">NTIA/2024-03763/comments/comment_attachments/NTIA-2023-0009-0224_1.md</t>
  </si>
  <si>
    <t xml:space="preserve">Workday recently [provided comments](https://ec.europa.eu/info/law/better-regulation/have-your-say/initiatives/12527-Artificial-intelligence-ethical-and-legal-requirements/F2665233_en) to the European Commission on this consequential legislation.</t>
  </si>
  <si>
    <t xml:space="preserve">[link] https://ec.europa.eu/info/law/better-regulation/have-your-say/initiatives/12527-Artificial-intelligence-ethical-and-legal-requirements/F2665233_en</t>
  </si>
  <si>
    <t xml:space="preserve">The European Union is moving forward with the Artificial Intelligence Act (AI Act), which would require organizations developing and deploying covered AI applications to implement risk-management systems.</t>
  </si>
  <si>
    <t xml:space="preserve">Workday recently provided comments to the European Commission on this consequential legislation.</t>
  </si>
  <si>
    <t xml:space="preserve">It is essential that the U.S., EU, and other like-minded governments harmonize their approaches to AI risk management and regulation so as to prevent unneeded barriers to transatlantic trade, investment, and innovation from developing.</t>
  </si>
  <si>
    <t xml:space="preserve">…ve legislative efforts and coalition building. We were pleased to see AI framework provisions receive bipartisan support and inclusion in the *Fiscal Year 2021* 
*National Defense Authorization Act*. We are keen to build on these efforts by constructively engaging in NIST's AI workstreams.
As NIST, together with stakeholders, embarks on the path of developing an AI RMF, timeliness is essential. The European Union is moving forward with the *Artificial Intelligence Act* (AI Act), which would require organizations developing and deploying covered AI applications to implement risk-management systems. «⟦Workday recently [provided comments](https://ec.europa.eu/info/law/better-regulation/have-your-say/initiatives/12527-Artificial-intelligence-ethical-and-legal-requirements/F2665233_en) to the European Commission on this consequential legislation.⟧» It is essential that the U.S., EU, and other like-minded governments harmonize their approaches to AI risk management and regulation so as to prevent unneeded barriers to transatlantic trade, investment, and innovation from developing. Indeed, NIST's RMF may facilitate enterprises' compliance with their future legal obligations under the AI Act. With Europe's proposal certain to become law, such harmonization is impossible if the U.S. lacks a consensus approach to managing AI risks, voluntary or otherwise. NIST's work on an AI RMF is very likely the most expeditious vehicle for establishing a consensus U.S. approach to building…</t>
  </si>
  <si>
    <t xml:space="preserve">587e497e-b002-507a-99f0-76bcca158b78</t>
  </si>
  <si>
    <t xml:space="preserve">NIST-2021-0004-0006</t>
  </si>
  <si>
    <t xml:space="preserve">NIST/2021-16176/comments/comment_attachments/NIST-2021-0004-0006_1.md</t>
  </si>
  <si>
    <t xml:space="preserve">Workers at Walmart discovered the company monitors online conversations about the union.[26](https://www.regulations.gov/document/OSTP_FRDOC_0001-0008#page-0-0)</t>
  </si>
  <si>
    <t xml:space="preserve">[footnote] Susan Berfield, How Walmart keeps an eye on its massive workforce, BLOOMBERG BUSINESS, Nov. 24, 2015, available at https://www.bloomberg.com/features/2015-walmart-union-surveillance/.
[link] https://www.regulations.gov/document/OSTP_FRDOC_0001-0008#page-0-0</t>
  </si>
  <si>
    <t xml:space="preserve">The use of AWSM to interfere with NLRA rights is not simply theoretical.</t>
  </si>
  <si>
    <t xml:space="preserve">Workers at Walmart discovered the company monitors online conversations about the union.</t>
  </si>
  <si>
    <t xml:space="preserve">HelloFresh tracks social media posts about the union by employees, and other corporations monitor work emails to identify what a former chair of the NLRB called "pre-union activity, employee discontent."</t>
  </si>
  <si>
    <t xml:space="preserve">…n 7 rights under the National Labor Relations Act (NLRA). She noted in particular, "the potential for omnipresent surveillance and other algorithmic-management tools to interfere with the exercise of Section 7 rights by significantly impairing or negating employees' ability to engage in protected activity and keep that activity confidential from their employer, if they so choose."[25](#page-0-0)
The use of AWSM to interfere with NLRA rights is not simply theoretical. «⟦Workers at Walmart discovered the company monitors online conversations about the union.⟧»[26](#page-0-0) HelloFresh tracks social media posts about the union by employees, and other corporations monitor work emails to identify what a former chair of the NLRB called
&lt;sup&gt;21&lt;/sup&gt; Lauren K. Gurley, *Amazon Drivers Are Instructed to Drive Recklessly to Meet Delivery Quotas*, VICE MOTHERBOARD, May 6, 2021, *available at* https://www.vice.com/en/article/xgxx54/amazon-drivers-are-instructed-to-driverecklessly-to-meet-delivery-quotas.
&lt;sup&gt;22&lt;/sup&gt; James Vincent, *Amazon delivery drivers have to consent to AI surveillance in their vans or lose their jobs*, THE VERGE, Mar. 24, 2021, *available at https://www.theverge.com/2021/3/24/22347945/amazon-delivery-drivers-aisurveillance-cameras-vans-consent-form.*
&lt;sup&gt;23&lt;/sup&gt; *See* Lauren K. Gurley, *Amazon's AI Cameras Are Punishing Drivers for Mistakes They Didn't Make*, VICE MOTHERBOARD, Sept. 20, 2021, *available at* https://www.vice.com/en/article/88npjv/amazons-ai-cameras-arepunishing-drivers-for-mistakes-they-didnt-make. *See also* David Hanley &amp; Sally Hubbard, *Eyes Everywhere: Amazon's Surveillance Infrastructure and Revitalizing Worker Power*, OPEN MARKETS (Sept. 2020), https://static1.squarespace.com/static/5e449c8c3ef68d752f3e70dc/t/5f4cffea23958d79eae1ab23/159888177 2432/Amazon\_Report\_Final.pdf.
&lt;sup&gt;24&lt;/sup&gt; *See BrokenNetwork: Workers ExposeHarms of Wireless Telecom Carriers' Outsourcing to "Authorized Retailers,"*  NAT'L EMPL. L. PROJECT, COMMC'NS WORKERS OF AM. (Feb. 2023), https://cwa-union.org/sites/default/files/2023- 02/20230206\_BrokenNetwork.pdf.
&lt;sup&gt;25&lt;/sup&gt; Office of the General Counsel, Memorandum GC 23—2, *Electronic Monitoring and Algorithmic Management of Employees Interfering with the Exercise of Section 7 Rights*, NAT'L. LAB. REL. BD., October, 2022, *available at https://www.nlrb.gov/guidance/memos-research/general-counsel-memos.*
&lt;sup&gt;26&lt;/sup&gt; Susan Berfield, *How Walmart keeps an eye on its massive workforce*, BLOOMBERG BUSINESS, Nov. 24, 2015, *available at* https://www.bloomberg.com/features/2015-walmart-union-surveillance/.
"pre-union activity, employee discontent."[27](#page-0-1) Further, corporations have used AWSM to gauge the likelihood that workers would organize. For example, Amazon-owned Whole Foods used a combination of data concerning the poverty levels of workers' neighborhoods, an index to measure the potential for racial solidarity, and measures of employee "loyalty" to identify stores where workers may support forming a union.[28](#page-0-2)
AW…</t>
  </si>
  <si>
    <t xml:space="preserve">8bfa1f36-2679-5711-ba23-96086addab54</t>
  </si>
  <si>
    <t xml:space="preserve">NELP-AI-RFI-2025</t>
  </si>
  <si>
    <t xml:space="preserve">NSF/2025-02305/comments/comment_attachments/NELP-AI-RFI-2025_1.md</t>
  </si>
  <si>
    <t xml:space="preserve">xii [Ministerial Declaration The G7 Digital and Tech Ministers' Meeting 30 April 2023 (g7digital](https://g7digital-tech-2023.go.jp/topics/pdf/pdf_20230430/ministerial_declaration_dtmm.pdf)-tech-2023.go.jp) xiii G7 Hiroshima AI Process: G7 Digital &amp; Tech Ministers Statement", September 2023, accessed at [3e39b82d-](https://www.politico.eu/wp-content/uploads/2023/09/07/3e39b82d-464d-403a-b6cb-dc0e1bdec642-230906_Ministerial-clean-Draft-Hiroshima-Ministers-Statement68.pdf)[464d-403a-b6cb-dc0e1bdec642-230906\_Ministerial-clean-Draft-Hiroshima-Ministers-Statement68.pdf](https://www.politico.eu/wp-content/uploads/2023/09/07/3e39b82d-464d-403a-b6cb-dc0e1bdec642-230906_Ministerial-clean-Draft-Hiroshima-Ministers-Statement68.pdf) [(politico.eu).](https://www.politico.eu/wp-content/uploads/2023/09/07/3e39b82d-464d-403a-b6cb-dc0e1bdec642-230906_Ministerial-clean-Draft-Hiroshima-Ministers-Statement68.pdf)</t>
  </si>
  <si>
    <t xml:space="preserve">[reference] xii [Ministerial Declaration The G7 Digital and Tech Ministers' Meeting 30 April 2023 (g7digital](https://g7digital-tech-2023.go.jp/topics/pdf/pdf_20230430/ministerial_declaration_dtmm.pdf)-tech-2023.go.jp) xiii G7 Hiroshima AI Process: G7 Digital &amp; Tech Ministers Statement", September 2023, accessed at [3e39b82d-](https://www.politico.eu/wp-content/uploads/2023/09/07/3e39b82d-464d-403a-b6cb-dc0e1
[link] https://www.politico.eu/wp-content/uploads/2023/09/07/3e39b82d-464d-403a-b6cb-dc0e1bdec642-230906_Ministerial-clean-Draft-Hiroshima-Ministers-Statement68.pdf</t>
  </si>
  <si>
    <t xml:space="preserve">pdf (informationpolicycentre.com),](https://www.informationpolicycentre.com/uploads/5/7/1/0/57104281/cipl_first_ai_report-ai_and_data_protection_in_tension2.pdf) and CIPL, "Second Report: Hard Issues and Practical Solutions," February 2020, AI Project - Centre for Information Policy Leadership (informationpolicycentre.com).</t>
  </si>
  <si>
    <t xml:space="preserve">xii Ministerial Declaration The G7 Digital and Tech Ministers' Meeting 30 April 2023 (g7digital-tech-2023.go.jp) xiii G7 Hiroshima AI Process: G7 Digital &amp; Tech Ministers Statement", September 2023, accessed at 3e39b82d-464d-403a-b6cb-dc0e1bdec642-230906\Ministerial-clean-Draft-Hiroshima-Ministers-Statement68.pdf (politico.eu).</t>
  </si>
  <si>
    <t xml:space="preserve">xiv Certification Working Group, "Unlocking the Power of AI Steps for Effective Certification to Help Drive Innovation and Trust," June 2023, https://www.responsible.ai/post/white-paper-draft-from-the-certificationworking-group.</t>
  </si>
  <si>
    <t xml:space="preserve">…s Kurth White Paper - *How the GDPR Regulates AI* – all available here [https://www.informationpolicycentre.com/ai-project.html.](https://www.informationpolicycentre.com/ai-project.html)
- xi For more on this topic, see CIPL, "First Report: Artificial Intelligence and Data Protection in Tension," October 2018, [cipl\\_first\\_ai\\_report\\_-\\_ai\\_and\\_data\\_protection\\_in\\_tension\\_\\_2\\_.pdf \(informationpolicycentre.com\),](https://www.informationpolicycentre.com/uploads/5/7/1/0/57104281/cipl_first_ai_report_-_ai_and_data_protection_in_tension__2_.pdf) and CIPL, "Second Report: Hard Issues and Practical Solutions," February 2020, AI Project - [Centre for Information](https://www.informationpolicycentre.com/ai-project.html)  [Policy Leadership \(informationpolicycentre.com\).](https://www.informationpolicycentre.com/ai-project.html)
- «⟦xii [Ministerial Declaration The G7 Digital and Tech Ministers' Meeting 30 April 2023 \(g7digital](https://g7digital-tech-2023.go.jp/topics/pdf/pdf_20230430/ministerial_declaration_dtmm.pdf)-tech-2023.go.jp) xiii G7 Hiroshima AI Process: G7 Digital &amp; Tech Ministers Statement", September 2023, accessed at [3e39b82d-](https://www.politico.eu/wp-content/uploads/2023/09/07/3e39b82d-464d-403a-b6cb-dc0e1bdec642-230906_Ministerial-clean-Draft-Hiroshima-Ministers-Statement68.pdf)[464d-403a-b6cb-dc0e1bdec642-230906\\_Ministerial-clean-Draft-Hiroshima-Ministers-Statement68.pdf](https://www.politico.eu/wp-content/uploads/2023/09/07/3e39b82d-464d-403a-b6cb-dc0e1bdec642-230906_Ministerial-clean-Draft-Hiroshima-Ministers-Statement68.pdf)  [\(politico.eu\).](https://www.politico.eu/wp-content/uploads/2023/09/07/3e39b82d-464d-403a-b6cb-dc0e1bdec642-230906_Ministerial-clean-Draft-Hiroshima-Ministers-Statement68.pdf)⟧»
- xiv Certification Working Group, "Unlocking the Power of AI Steps for Effective Certification to Help Drive Innovation and Trust," June 2023, [https://www.responsible.ai/post/white-paper-draft-from-the-certification](https://www.responsible.ai/post/white-paper-draft-from-the-certification-working-group)[working-group.](https://www.responsible.ai/post/white-paper-draft-from-the-certification-working-group)
- xv For further discussion of governance across these layers of the AI Technology Stack, see Microsoft, "Governing AI: A Blueprint for the Future," May 2023,
[https://query.prod.cms.rt.microsoft.com/cms/api/am/binary/RW14Gtw.](https://query.prod.cms.rt.microsoft.com/cms/api/am/binary/RW14Gtw)
- xvi National Institute of Standards and Technology (NIST), "AI Risk Management Framework," [https://…</t>
  </si>
  <si>
    <t xml:space="preserve">2d0662c0-2def-592a-95ee-306cc9278bd2</t>
  </si>
  <si>
    <t xml:space="preserve">Doe v. Github, Inc., 672 F. Supp. 3d 837 (N.D. Cal. 2023).</t>
  </si>
  <si>
    <t xml:space="preserve">[reference] F. Supp. 3d 837 (N.D. Cal. 2023).</t>
  </si>
  <si>
    <t xml:space="preserve">Doe v. Github, Inc., 672 F. Supp.</t>
  </si>
  <si>
    <t xml:space="preserve">3d 837 (N.D. Cal. 2023).</t>
  </si>
  <si>
    <t xml:space="preserve">There was an order issued by Judge Tigar of the U.S. District Court for the Northern District of California on September 27, 2024 showing there may be an appeal to the 9th Circuit coming for this case.</t>
  </si>
  <si>
    <t xml:space="preserve">…learer picture of how many decisions in any creative process could be a quantifier in discussing the uniqueness of a protected piece. It is important to these questions in that photography was a young technology that allowed the creation of a copyright protected piece of work at an expedited pace with less physical and temporal exertion on the artist than had previously been required of artists.
«Doe v. Github, Inc., 672 F. Supp. ⟦3d 837 (N.D. Cal. 2023).⟧»
There was an order issued by Judge Tigar of the U.S. District Court for the Northern District of California on September 27, 2024 showing there may be an appeal to the 9th Circuit coming for this case. During the dismissals in this case, it was shown that there may be a need for copyright claims of infringement to include actual reproductions of copyrighted materials in order to prove that infringement occurred during the training process that I will discuss more fully later on in reference to ongoing cases such as Andersen and Tremblay. A major difference between this case and any other that I…</t>
  </si>
  <si>
    <t xml:space="preserve">2c421055-5fb3-5712-908a-52d78bed4b74</t>
  </si>
  <si>
    <t xml:space="preserve">Michael-Shaw-AI-RFI-2025</t>
  </si>
  <si>
    <t xml:space="preserve">NSF/2025-02305/comments/comment_attachments/Michael-Shaw-AI-RFI-2025_1.md</t>
  </si>
  <si>
    <t xml:space="preserve">About the author: Aviv Ovadya leads AIDF and has extensive experience in this specific area, helped initially raise the alarm in 2017 and 2018 around many of the potential risks of what are now called foundation models, and has written about the benefits and challenges of [variably](https://arxiv.org/abs/1907.11274) open AI [systems,](https://arxiv.org/abs/1907.11274) and the need to go beyond red teaming AI [systems](https://www.wired.com/story/red-teaming-gpt-4-was-valuable-violet-teaming-will-make-it-better/) like GPT-4 in order to ensure resilience to the inevitable impacts of open systems.</t>
  </si>
  <si>
    <t xml:space="preserve">[link] https://arxiv.org/abs/1907.11274</t>
  </si>
  <si>
    <t xml:space="preserve">AIDF is a research and DARPA-model grantmaking organization, created in order to provide new approaches for enabling international buy-in to meaningfully address exactly these kinds of challenging questions, where the choices of any state (or corporation) can impact everyone.</t>
  </si>
  <si>
    <t xml:space="preserve">About the author: Aviv Ovadya leads AIDF and has extensive experience in this specific area, helped initially raise the alarm in 2017 and 2018 around many of the potential risks of what are now called foundation models, and has written about the benefits and challenges of variably open AI systems, and the need to go beyond red teaming AI systems like GPT-4 in order to ensure resilience to the inevitable impacts of open systems.</t>
  </si>
  <si>
    <t xml:space="preserve">He has consulted, advised, or otherwise been affiliated with organizations across the ecosystem including the Partnership on AI, the Berkman Klein Center (Harvard), the Belfer Center (Harvard), the Centre for Governance of AI, Cohere, and OpenAI, and is regularly quoted by publications such as the New York Times on topics related to open AI models.</t>
  </si>
  <si>
    <t xml:space="preserve">… to NTIA RFC on 'Dual Use Foundation Models with Widely Available Model Weights'**
Aviv Ovadya Founder and Executive Director **AI &amp; Democracy Foundation** [aviv@thoughtfultech.org](mailto:aviv@thoughtfultech.org) March 26, 2024
**The AI &amp; Democracy Foundation** (AIDF) appreciates the opportunity to provide input on the critical issue of dual-use foundation models with widely available weights. AIDF is a research and DARPA-model grantmaking organization, created in order to provide new approaches for enabling international buy-in to meaningfully address exactly these kinds of challenging questions, where the choices of any state (or corporation) can impact everyone.
«⟦**About the author**: Aviv Ovadya leads AIDF and has extensive experience in this specific area, helped initially raise the alarm in 2017 and 2018 around many of the potential risks of what are now called foundation models, and has written about the benefits and challenges of [variably](https://arxiv.org/abs/1907.11274) open AI [systems,](https://arxiv.org/abs/1907.11274) and the need to go beyond red teaming AI [systems](https://www.wired.com/story/red-teaming-gpt-4-was-valuable-violet-teaming-will-make-it-better/) like GPT-4 in order to ensure resilience to the inevitable impacts of open systems.⟧» He has consulted, advised, or otherwise been affiliated with organizations across the ecosystem including the Partnership on AI, the Berkman Klein Center (Harvard), the Belfer Center (Harvard), the Centre for Governance of AI, Cohere, and OpenAI, and is regularly quoted by publications such as the New York Times on topics related to open AI models. The core focus of his current work is on the mission of AIDF, by providing viable 'democratic' alternatives beyond the default paths of either (a) closed corporate/autocratic control of AI systems, and (b) ungovernable and irreversibly open AI systems.
This comment will focus on **question 7, and particularly 7h and 7i**, though we are happy to discuss other questions given our experience pionee…</t>
  </si>
  <si>
    <t xml:space="preserve">1eccb07a-81af-5dfd-b6d7-889f7ba60117</t>
  </si>
  <si>
    <t xml:space="preserve">NTIA-2023-0009-0290</t>
  </si>
  <si>
    <t xml:space="preserve">NTIA/2024-03763/comments/comment_attachments/NTIA-2023-0009-0290_1.md</t>
  </si>
  <si>
    <t xml:space="preserve">However, this Rumsfeldian claim is now being used to turn vague, unscientific claims of catastrophic AI risk into the animating concern for AI policy, despite a [clear](https://arxiv.org/pdf/2403.07918.pdf) lack of [empirical](https://arxiv.org/pdf/2403.07918.pdf) evidence - in turn detracting from well-evidenced present-day - i.e., very well-known - harms from AI.</t>
  </si>
  <si>
    <t xml:space="preserve">[link] https://arxiv.org/pdf/2403.07918.pdf</t>
  </si>
  <si>
    <t xml:space="preserve">Indeed, with new technologies, we are often confronted with unknown risks as we learn more about the technology and its impacts.</t>
  </si>
  <si>
    <t xml:space="preserve">However, this Rumsfeldian claim is now being used to turn vague, unscientific claims of catastrophic AI risk into the animating concern for AI policy, despite a clear lack of empirical evidence — in turn detracting from well-evidenced present-day — i.e., very well-known — harms from AI.</t>
  </si>
  <si>
    <t xml:space="preserve">Policymakers must move to prevent and mitigate these harms, in addition to building the capacity to practice effective foresight and quickly counter newly emerging risks that is, the 'known known' and the 'known unknown'.</t>
  </si>
  <si>
    <t xml:space="preserve">… the world, rather than allowing another country's AI companies to provide the building blocks of the global AI infrastructure.
#### **Openness provides 'unknown unknown' benefits for the economy**
In addition to substantive debates about potential risks from openly releasing model weights, more recent debates have also invoked **'**unknown unknown**'** risks from openness to national security. Indeed, with new technologies, we are often confronted with unknown risks as we learn more about the technology and its impacts. «⟦However,
&lt;sup&gt;2&lt;/sup&gt; Further, as U.S. courts have held multiple times, computer source code must be viewed as expressive for First Amendment purposes. For example, in *Junger v. Daley*, the court held that "computer source code is an expressive means for the exchange of information and ideas about computer programming," granting it protections under the First Amendment. A similar argument could be made about the importance of protecting the sharing of information about model weights and other AI components.
this Rumsfeldian claim is now being used to turn vague, unscientific claims of catastrophic AI risk into the animating concern for AI policy, despite a [clear](https://arxiv.org/pdf/2403.07918.pdf) lack of [empirical](https://arxiv.org/pdf/2403.07918.pdf) evidence — in turn detracting from well-evidenced present-day — i.e., very well-known — harms from AI.⟧»
Policymakers must move to prevent and mitigate these harms, in addition to building the capacity to practice effective foresight and quickly counter newly emerging risks that is, the **'**known known**'** and the **'**known unknown**'**. However, by their very definition, attempts to counter **'**unknown unknowns**'** are bound to be ineffective. In fact, any claim to foresee the things (in Rumsfeld's own words) "we don't know we don't know" borders on mysticism.
If policymakers still seek to address **'**unknown unknown**'** risks from AI, they must also take into account **'**unknown unknown**'** benefits from AI. Indeed, the …</t>
  </si>
  <si>
    <t xml:space="preserve">7021afed-7907-5fbb-82da-888da031bf84</t>
  </si>
  <si>
    <t xml:space="preserve">NTIA-2023-0009-0248</t>
  </si>
  <si>
    <t xml:space="preserve">NTIA/2024-03763/comments/comment_attachments/NTIA-2023-0009-0248_1.md</t>
  </si>
  <si>
    <t xml:space="preserve">Google utilized this approach to drive community adoption of the open source SkyWater 130nm process design kit (PDK) and as a means to test open source chip design workflows in a fully end-to-end manner. When SkyWater and Google ran the [first](https://www.skywatertechnology.com/press-releases/google-partners-with-skywater-and-efabless-to-enable-open-source-manufacturing-of-custom-asics/) [multi-project wafer (MPW) shuttle run](https://www.skywatertechnology.com/press-releases/google-partners-with-skywater-and-efabless-to-enable-open-source-manufacturing-of-custom-asics/) after release of the open source PDK, we received 45 design submissions in only 30 days, indicating significant interest from both commercial industry (including Western Digital and IBM) and academia.</t>
  </si>
  <si>
    <t xml:space="preserve">[link] https://www.skywatertechnology.com/press-releases/google-partners-with-skywater-and-efabless-to-enable-open-source-manufacturing-of-custom-asics/</t>
  </si>
  <si>
    <t xml:space="preserve">Google utilized this approach to drive community adoption of the open source SkyWater 130nm process design kit (PDK) and as a means to test open source chip design workflows in a fully end-to-end manner.</t>
  </si>
  <si>
    <t xml:space="preserve">When SkyWater and Google ran the first multi-project wafer (MPW) shuttle run after release of the open source PDK, we received 45 design submissions in only 30 days, indicating significant interest from both commercial industry (including Western Digital and IBM) and academia.</t>
  </si>
  <si>
    <t xml:space="preserve">60% were from first-time designers.</t>
  </si>
  <si>
    <t xml:space="preserve">…design across a silicon wafer in large quantities, multiple projects are combined together and manufactured in smaller sample quantities (1200+ parts). By allocating design "slots" to members of the open source community, participants who would otherwise be unable to afford their own dedicated manufacturing run to validate their designs are able to further their research or commercial interests.
«Google utilized this approach to drive community adoption of the open source SkyWater 130nm process design kit (PDK) and as a means to test open source chip design workflows in a fully end-to-end manner. ⟦When SkyWater and Google ran the [first](https://www.skywatertechnology.com/press-releases/google-partners-with-skywater-and-efabless-to-enable-open-source-manufacturing-of-custom-asics/) [multi-project wafer \(MPW\) shuttle run](https://www.skywatertechnology.com/press-releases/google-partners-with-skywater-and-efabless-to-enable-open-source-manufacturing-of-custom-asics/) after release of the open source PDK, we received 45 design submissions in only 30 days, indicating significant interest from both commercial industry (including Western Digital and IBM) and academia.⟧» 60% were from first-time designers. As of January 31st, 2022 Google has received 250+ submissions to this program.
![](_page_4_Picture_6.jpeg)
Figure 1: A sampling of the designs submitted on our first two open source multi project wafer runs.
![](_page_5_Picture_2.jpeg)
#### &lt;span id="page-5-0"&gt;&lt;/span&gt;ReRAM
As part of an expansion in our 130nm MPW program with SkyWater Technology we helped release their [resistive RAM technol…</t>
  </si>
  <si>
    <t xml:space="preserve">0b56ebf1-7083-5bcb-97de-f7fa0bf50f29</t>
  </si>
  <si>
    <t xml:space="preserve">NIST-2021-0007-0048</t>
  </si>
  <si>
    <t xml:space="preserve">NIST/2021-25428/comments/comment_attachments/NIST-2021-0007-0048_1.md</t>
  </si>
  <si>
    <t xml:space="preserve">The U.S. plays a critical role in establishing and promoting scientifically grounded AI standards that foster innovation while implementing safeguards for high-risk AI applications, as set out during the first Trump administration.[9]</t>
  </si>
  <si>
    <t xml:space="preserve">[footnote] White House (2019) Executive Order on Maintaining American Leadership in Artificial Intelligence. White House, [https://trumpwhitehouse.archives.gov/presidential-actions/executive-order-maintaining](https://trumpwhitehouse.archives.gov/presidential-actions/executive-order-maintaining-american-leadership-artificial-intelligence/)
[link] https://trumpwhitehouse.archives.gov/presidential-actions/executive-order-maintaining-american-leadership-artificial-intelligence/</t>
  </si>
  <si>
    <t xml:space="preserve">The U.S. plays a critical role in establishing and promoting scientifically grounded AI standards that foster innovation while implementing safeguards for high-risk AI applications, as set out during the first Trump administration.</t>
  </si>
  <si>
    <t xml:space="preserve">Setting intolerable risk thresholds (supported by 27 countries and the EU at the AI Seoul Summit and the NIST AI RMF11) is one way to mitigate catastrophic risks from AI without slowing down innovation.</t>
  </si>
  <si>
    <t xml:space="preserve">…s with Software Updates. U.S. Government Accountability Office, &lt;https://www.gao.gov/blog/crowdstrike-chaos-highlights-key-cyber-vulnerabilities-software-updates&gt;8 NIST (2025) Strategic Vision. National Institute of Standards and Technology,
&lt;span id="page-1-4"&gt;&lt;/span&gt;&lt;https://www.nist.gov/aisi/strategic-vision&gt;
## **Champion AI standards and regulations that address national security risks.**
«⟦The U.S. plays a critical role in establishing and promoting scientifically grounded AI standards that foster innovation while implementing safeguards for high-risk AI applications, as set out during the first Trump administration.⟧»[9](#page-2-0) Setting intolerable risk thresholds (supported by 27 countries and the EU at the AI Seoul Summit[10,](#page-2-1) and the NIST AI RMF[11\)](#page-2-2) is one way to mitigate catastrophic risks from AI without slowing down innovation.[12](#page-2-3)
# **Prioritize strategic partnerships that will support international American AI leadership.**
Given AI's transnational nature, forging strategic partnerships with allies, leading research institutions, and global organizations is crucial to bolstering U.S. competitiveness and ensuring global AI developments align with American interests.
# 2. Specific Recommendations on Policy…</t>
  </si>
  <si>
    <t xml:space="preserve">0ba2b0a5-04af-5a6e-8ee8-906bd5bb85df</t>
  </si>
  <si>
    <t xml:space="preserve">Nada-Madkour-AI-RFI-2025</t>
  </si>
  <si>
    <t xml:space="preserve">NSF/2025-02305/comments/comment_attachments/Nada-Madkour-AI-RFI-2025_1.md</t>
  </si>
  <si>
    <t xml:space="preserve">excluded_table</t>
  </si>
  <si>
    <t xml:space="preserve">table</t>
  </si>
  <si>
    <t xml:space="preserve">For models which pose high or unacceptable risk, request or compel the model owner(s) to bolster security around the model against theft by adversaries (Nevo et al., 2024), or otherwise secure and delete the model.</t>
  </si>
  <si>
    <t xml:space="preserve">Emergencyresponse For models which pose high or unacceptable risk, request or compel the modelowner(s) to bolster security around the model against theft by adversaries (Nevoet al., 2024), or otherwise secure and delete the model.</t>
  </si>
  <si>
    <t xml:space="preserve">…                           | Develop formal preparedness plans in place for specific AI risk scenarios informed&lt;br&gt;by latest information on the current state of the art of advanced AI systems (Wasil,&lt;br&gt;Smith, Katzke, &amp; Bullock, 2024)                                                                                                                                                               |  |
| «⟦Emergency&lt;br&gt;response                                            | For models which pose high or unacceptable risk, request or compel the model&lt;br&gt;owner(s) to bolster security around the model against theft by adversaries (Nevo&lt;br&gt;et al., 2024), or otherwise secure and delete the model.⟧»                                                                                                                                                |  |
| Develop&lt;br&gt;domestic&lt;br&gt;policy                                    | Pass legislation for a higher-risk technology environment than we have today,&lt;br&gt;such as standing up an oversight entity for AI development and deployment&lt;br&gt;(Romney et al., 2024).  …</t>
  </si>
  <si>
    <t xml:space="preserve">54063282-55ec-5727-8b86-36657d7a95ec</t>
  </si>
  <si>
    <t xml:space="preserve">BIS-2024-0047-0012</t>
  </si>
  <si>
    <t xml:space="preserve">BIS/2024-20529/comments/comment_attachments/BIS-2024-0047-0012_1.md</t>
  </si>
  <si>
    <t xml:space="preserve">The ability to examine statistical correlation between features and sensitive attributes may be constrained in circumstances where an AI Developer lacks access to sensitive attribute data and/ or is prohibited from making inferences about such data.22</t>
  </si>
  <si>
    <t xml:space="preserve">[footnote] McKane Andrus, Elena Spitzer, Jeffrey Brown, and Alice Xiang, "What We Can't Measure, We Can't Understand": Challenges to Demographic Data Procurement in the Pursuit of Fairness, arXiv:2011.02282 (January 23, 2021), https://arxiv.org/abs/2011.02282
[link] https://arxiv.org/abs/2011.02282</t>
  </si>
  <si>
    <t xml:space="preserve">To avoid the risk of proxy bias, theAI Developer should examine the potentialcorrelation between a model's featuresand protected traits and examine what rolethese proxy variables may be playing in themodel's output.</t>
  </si>
  <si>
    <t xml:space="preserve">The ability to examine statisticalcorrelation between features andsensitive attributes may be constrained incircumstances where an AI Developer lacksaccess to sensitive attribute data and/or is prohibited from making inferencesabout such data.22</t>
  </si>
  <si>
    <t xml:space="preserve">In such circumstances, amore holistic analysis informed by domainexperts may be necessary.</t>
  </si>
  <si>
    <t xml:space="preserve">…             | • Simply avoiding the use of sensitive&lt;br&gt;attributes as inputs to the system—an&lt;br&gt;approach known as "fairness through&lt;br&gt;unawareness"—is not an effective&lt;br&gt;approach to mitigating the risk of bias.&lt;br&gt;Even when sensitive characteristics are&lt;br&gt;explicitly excluded from a model, other&lt;br&gt;variables can act as proxies for those&lt;br&gt;characteristics and introduce bias into the&lt;br&gt;system. To avoid the risk of proxy bias, the&lt;br&gt;AI Developer should examine the potential&lt;br&gt;correlation between a model's features&lt;br&gt;and protected traits and examine what role&lt;br&gt;these proxy variables may be playing in the&lt;br&gt;model's output.&lt;br&gt;«⟦• The ability to examine statistical&lt;br&gt;correlation between features and&lt;br&gt;sensitive attributes may be constrained in&lt;br&gt;circumstances where an AI Developer lacks&lt;br&gt;access to sensitive attribute data and/&lt;br&gt;or is prohibited from making inferences&lt;br&gt;about such data.22⟧» In such circumstances, a&lt;br&gt;more holistic analysis informed by domain&lt;br&gt;experts may be necessary. |  |  |
![](_page_25_Picture_1.jpeg)
#### DEVELOPMENT
| Function                                         | Category                                    | Diagnostic Statement                                                                                                                                                                            | Comments on Implementation                       …</t>
  </si>
  <si>
    <t xml:space="preserve">6d3a3cae-31ab-55f8-bda1-20114a6839e9</t>
  </si>
  <si>
    <t xml:space="preserve">As above. Entities that interact with AI agents could have information pertinent to detecting and addressing misuse, if they can identify with which agent they are interacting (Chan et al, 2024a, 2024b).</t>
  </si>
  <si>
    <t xml:space="preserve">[link] https://doi.org/10.1145/3630106.3658948</t>
  </si>
  <si>
    <t xml:space="preserve">[Learn more]As above.</t>
  </si>
  <si>
    <t xml:space="preserve">Entities that interactwith AI agents could haveinformation pertinent todetecting and addressingmisuse, if they can identifywith which agent they areinteracting (Chan et al, 2024a,2024b).</t>
  </si>
  <si>
    <t xml:space="preserve">…                                                                                                                                                                                                                                                                                                                                                                                                              | «[Learn more]&lt;br&gt;As above. ⟦Entities that interact&lt;br&gt;with AI agents could have&lt;br&gt;information pertinent to&lt;br&gt;detecting and addressing&lt;br&gt;misuse, if they can identify&lt;br&gt;with which agent they are&lt;br&gt;interacting (Chan et al, 2024a,&lt;br&gt;2024b).⟧»                                                                                                                                                                                                            |
|                                   | Current version                                                                                                                | Suggested changes         …</t>
  </si>
  <si>
    <t xml:space="preserve">4dfcf830-be2a-59b1-a934-87145ba62b34</t>
  </si>
  <si>
    <t xml:space="preserve">NIST-2024-0002-0059</t>
  </si>
  <si>
    <t xml:space="preserve">NIST/2024-17614/comments/comment_attachments/NIST-2024-0002-0059_1.md</t>
  </si>
  <si>
    <t xml:space="preserve">Scholar Link: https://0-scholar-google-com.brum.beds.ac.uk/citations?user=30yBAKAAAAAJ&amp;hl=en</t>
  </si>
  <si>
    <t xml:space="preserve">[link] https://0-scholar-google-com.brum.beds.ac.uk/citations?user=30yBAKAAAAAJ&amp;hl=en</t>
  </si>
  <si>
    <t xml:space="preserve">Dr. Tunde Olabiyisi,Professor, Department of Computer ScienceLadoke Akintola University of Technology, NigeriaE-Mail:Scholar Link: https://0-scholar-google-com.brum.beds.ac.uk/citations?</t>
  </si>
  <si>
    <t xml:space="preserve">user=30yBAKAAAAAJ&amp;hl=en</t>
  </si>
  <si>
    <t xml:space="preserve">…iversity, Erbil, 44001, Iraq&lt;br&gt;Email:&lt;br&gt;Scholar Link: https://scholar.google.co.in/citations?user=JIUG8V8AAAAJ&amp;hl=en               |
| Dr. Tran Duc Tan&lt;br&gt;Associate Professor&lt;br&gt;Faculty of Electrical and Electronic Engineering,&lt;br&gt;Phenikaa University, Vietnam, Email:&lt;br&gt;Scholar Link: https://scholar.google.co.in/citations?user=lAEVs8QAAAAJ&amp;hl=en                                               |
| «Dr. Tunde Olabiyisi,&lt;br&gt;Professor, Department of Computer Science&lt;br&gt;Ladoke Akintola University of Technology, Nigeria&lt;br&gt;E-Mail:&lt;br&gt;Scholar Link: https://0-scholar-google-com.brum.beds.ac.uk/citations?⟦user=30yBAKAAAAAJ&amp;hl=en⟧»                                  |
### **Dr. Sudhir Kumar Sharma**,
Professor, Computer Science Department,
Institute of Information Technology and Management, Janakpuri, New Delhi
Email Id: ;
Google scholar:https://scholar.google.co.in/citations?user=QH2DXg4AAAAJ&amp;hl=en
### **Dr. Kalyana C. Veluvolu**
Professor, School of Electronics Engineering,
Kyungpook National University, Daegu, Sout…</t>
  </si>
  <si>
    <t xml:space="preserve">dedfea0b-8d80-5794-8c0e-4815adec4586</t>
  </si>
  <si>
    <t xml:space="preserve">AI-RFI-2025-1262</t>
  </si>
  <si>
    <t xml:space="preserve">NSF/2025-02305/comments/comment_attachments/AI-RFI-2025-1262_1.md</t>
  </si>
  <si>
    <t xml:space="preserve">Perform research into the implications of the capability on critical infrastructure, for instance whether the electricity grid computer systems require hardening to potential increased frequency of AI-powered cyberattacks, or future quantum cyberattacks (Tierney, 2024).</t>
  </si>
  <si>
    <t xml:space="preserve">[link] https://news.engineering.utoronto.ca/staying-ahead-of-the-game-ece-professor-readies-power-utilities-against-future-quantum-cyberattacks/</t>
  </si>
  <si>
    <t xml:space="preserve">Evaluateimpact Perform research into the implications of the capability on critical infrastructure, forinstance whether the electricity grid computer systems require hardening topotential increased frequency of AI-powered cyberattacks, or future quantumcyberattacks (Tierney, 2024).</t>
  </si>
  <si>
    <t xml:space="preserve">…                           |                                                                                                                                                                                                                                                                                                                                                                             |  |
| «⟦Evaluate&lt;br&gt;impact                                               | Perform research into the implications of the capability on critical infrastructure, for&lt;br&gt;instance whether the electricity grid computer systems require hardening to&lt;br&gt;potential increased frequency of AI-powered cyberattacks, or future quantum&lt;br&gt;cyberattacks (Tierney, 2024).⟧»                                                                                     |  |
|                                                                  | Order evaluations of models on a similar training scale, or of other models using&lt;br&gt;similar post-training enhancements, to determine whether the DUC is more&lt;br&gt;widespread. In other critical infrastructure domains, comparisons to existing&lt;br…</t>
  </si>
  <si>
    <t xml:space="preserve">39df9401-6244-5f66-b305-63b85cf57c41</t>
  </si>
  <si>
    <t xml:space="preserve">excluded_footnote</t>
  </si>
  <si>
    <t xml:space="preserve">- [https://www.lesswrong.com/posts/ELbGqXiLbRe6zSkTu/a-review-of-wea](https://www.lesswrong.com/posts/ELbGqXiLbRe6zSkTu/a-review-of-weak-to-strong-generalization-ai-safety-camp)k[to-strong-generalization-ai-safety-camp](https://www.lesswrong.com/posts/ELbGqXiLbRe6zSkTu/a-review-of-weak-to-strong-generalization-ai-safety-camp)</t>
  </si>
  <si>
    <t xml:space="preserve">[link] https://www.lesswrong.com/posts/ELbGqXiLbRe6zSkTu/a-review-of-weak-to-strong-generalization-ai-safety-camp</t>
  </si>
  <si>
    <t xml:space="preserve">https://www.lesswrong.com/posts/ELbGqXiLbRe6zSkTu/a-review-of-weakto-strong-generalization-ai-safety-camp</t>
  </si>
  <si>
    <t xml:space="preserve">…els for their adaptation to their final product.
Have openweight disclosure for downstream developers might help them understand better how the AI system "reasons" to achieve its answer and can help understand if the accuracy of the model during training/testing is really based on the correct parameters?
- &lt;https://journals.plos.org/plosmedicine/article?id=10.1371/journal.pmed.1002683#sec026&gt;
- «⟦[https://www.lesswrong.com/posts/ELbGqXiLbRe6zSkTu/a-review-of-wea](https://www.lesswrong.com/posts/ELbGqXiLbRe6zSkTu/a-review-of-weak-to-strong-generalization-ai-safety-camp)k[to-strong-generalization-ai-safety-camp](https://www.lesswrong.com/posts/ELbGqXiLbRe6zSkTu/a-review-of-weak-to-strong-generalization-ai-safety-camp)⟧»
- [https://forum.effectivealtruism.org/posts/gduniYkExJTrbDKSj/deepmind](https://forum.effectivealtruism.org/posts/gduniYkExJTrbDKSj/deepmind-evaluating-frontier-models-for-dan)[evaluating-frontier-models-for-dan](https://forum.effectivealtruism.org/posts/gduniYkExJTrbDKSj/deepmind-evaluating-frontier-models-for-dan)
# 3b. How can making model weights widely available improve the safety, securit…</t>
  </si>
  <si>
    <t xml:space="preserve">96624935-a663-542a-b876-48bd983d57f3</t>
  </si>
  <si>
    <t xml:space="preserve">NTIA-2023-0009-0274</t>
  </si>
  <si>
    <t xml:space="preserve">NTIA/2024-03763/comments/comment_attachments/NTIA-2023-0009-0274_1.md</t>
  </si>
  <si>
    <t xml:space="preserve">Accountability (Principle 1.5), OECD.AI Policy Observatory.</t>
  </si>
  <si>
    <t xml:space="preserve">[link] https://oecd.ai/en/dashboards/ai-principles/P9</t>
  </si>
  <si>
    <t xml:space="preserve">…amending certain Union Legislative Acts, [COM\(2021\)0206](https://www.europarl.europa.eu/meetdocs/2014_2019/plmrep/COMMITTEES/CJ40/DV/2023/05-11/ConsolidatedCA_IMCOLIBE_AI_ACT_EN.pdf) – C9 0146/2021 – 2021/0106 (COD) (May 9, [2023\)](https://www.europarl.europa.eu/meetdocs/2014_2019/plmrep/COMMITTEES/CJ40/DV/2023/05-11/ConsolidatedCA_IMCOLIBE_AI_ACT_EN.pdf) (emphasis in original).
&lt;sup&gt;33&lt;/sup&gt; «⟦[Accountability](https://oecd.ai/en/dashboards/ai-principles/P9) (Principle 1.5), OECD.AI Policy Observatory.⟧»
#### **Existing Resources and Models**
9. What AI accountability mechanisms are currently being used? Are the accountability frameworks of certain sectors, industries, or market participants especially mature as compared to others? Which industry, civil society, or governmental accountability instruments, guidelines, or policies are most appropriate for implementation and operationalization at …</t>
  </si>
  <si>
    <t xml:space="preserve">f0dc55b6-d64f-579e-965b-b3a8ac06ca86</t>
  </si>
  <si>
    <t xml:space="preserve">Scholar Link: https://scholar.google.co.in/citations?user=2FaLVd0AAAAJ&amp;hl=en</t>
  </si>
  <si>
    <t xml:space="preserve">[link] https://scholar.google.co.in/citations?user=2FaLVd0AAAAJ&amp;hl=en</t>
  </si>
  <si>
    <t xml:space="preserve">Scholar Link: https://scholar.google.co.in/citations?</t>
  </si>
  <si>
    <t xml:space="preserve">user=2FaLVd0AAAAJ&amp;hl=en</t>
  </si>
  <si>
    <t xml:space="preserve">…ei University of Business, Taiwan,
Email:
#### **Dr. Utku Kose**
Associate Professor, Dept. of Computer Engineering,
Suleyman Demirel University, West Campus, Turkey
Email: ;
Web: http://www.utkukose.com/
Scholar Link: https://scholar.google.com.tr/citations?user=aTweWB4AAAAJ
### **Dr. Jafar A. Alzubi**
Head of Computer Engineering Department
Al-Balqa Applied University, Jordan
Email:
«Scholar Link: https://scholar.google.co.in/citations?⟦user=2FaLVd0AAAAJ&amp;hl=en⟧»
#### **Dr. Hongju Cheng**
Professor, College of Mathematics and Computer Science,
Fuzhou University, Fuzhou, China,
Email:
Scholar Link: https://scholar.google.com/citations?user=KxWm8VUAAAAJ&amp;hl=en
### **Dr. Varun G Menon**
Associate Professor in Computer Science at SCMS, IEEE Senior Member, ACM Distinguished Speaker scmsgroup.org
### **R Venkatesha Prasad**
Associate Professor, Internet…</t>
  </si>
  <si>
    <t xml:space="preserve">ad17e983-a46b-5cb2-b98c-d5f1c3fb2084</t>
  </si>
  <si>
    <t xml:space="preserve">- We will propose our own Technology Transfer (T2) Plan [(https://www.transportation.gov/research-and-technology/technology-transfer)](https://www.transportation.gov/research-and-technology/technology-transfer)</t>
  </si>
  <si>
    <t xml:space="preserve">[link] https://www.transportation.gov/research-and-technology/technology-transfer\</t>
  </si>
  <si>
    <t xml:space="preserve">We will propose our own Technology Transfer (T2) Plan (https://www.transportation.gov/research-and-technology/technology-transfer)</t>
  </si>
  <si>
    <t xml:space="preserve">…sa.gov/buy-through-us/products-and-services/transportation-and-logistics-services/fleet-management/vehicle-leasing/find-a-fleet-service-representative)[services/fleet-management/vehicle-leasing/find-a-fleet-service-representative\)](https://www.gsa.gov/buy-through-us/products-and-services/transportation-and-logistics-services/fleet-management/vehicle-leasing/find-a-fleet-service-representative)
- «⟦We will propose our own Technology Transfer (T2) Plan [\(https://www.transportation.gov/research-and-technology/technology-transfer](https://www.transportation.gov/research-and-technology/technology-transfer))⟧»
- We will invite David Wollman's NIST Smart Connected Systems Division to review our 'Smart Transportation' &amp; TeleMatics recommendations [\(https://www.nist.gov/programs](https://www.nist.gov/programs-projects/nist-automated-vehicles-program)[projects/nist-automated-vehicles-program](https://www.nist.gov/programs-projects/nist-automated-vehicles-program)).
- We will apply for DOT SMART Grants ([h…</t>
  </si>
  <si>
    <t xml:space="preserve">b19cac56-0c51-5f45-9ea2-afc08da6ece2</t>
  </si>
  <si>
    <t xml:space="preserve">Michael-Erickson-6-AI-RFI-2025</t>
  </si>
  <si>
    <t xml:space="preserve">NSF/2025-02305/comments/comment_attachments/Michael-Erickson-6-AI-RFI-2025_1.md</t>
  </si>
  <si>
    <t xml:space="preserve">Uploaded to: https://www.regulations.gov/commenton/BIS-2024-0055-0001; https://www.regulations.gov/commenton/BIS-2024-0028-0001; and https://www.regulations.gov/commenton/BIS-2025-0001-0001</t>
  </si>
  <si>
    <t xml:space="preserve">[link] https://www.regulations.gov/commenton/BIS-2024-0055-0001</t>
  </si>
  <si>
    <t xml:space="preserve">![](_page_0_Picture_0.jpeg)
![](_page_0_Picture_1.jpeg)
## **PUBLIC VERSION**
March 14, 2025
«⟦Uploaded to: https://www.regulations.gov/commenton/BIS-2024-0055-0001; https://www.regulations.gov/commenton/BIS-2024-0028-0001; and https://www.regulations.gov/commenton/BIS-2025-0001-0001⟧»
Mr. Carlos Monroy Bureau of Industry and Security (BIS) U.S. Department of Commerce 1401 Constitution Ave. NW Washington, DC 20230
&gt; RE: Comments on (i) Implementation of Additional Due Diligence Measures for Advanced Computing Integrated Circuits; (ii) Foreign-Produced Direct Product Rule Additions, and Refinements to Controls for Advanced Computing and Semiconductor Manufacturing Items; and (…</t>
  </si>
  <si>
    <t xml:space="preserve">0633ed79-c0be-52aa-bf0f-5f6d5ac64397</t>
  </si>
  <si>
    <t xml:space="preserve">BIS-2024-0055-0012</t>
  </si>
  <si>
    <t xml:space="preserve">BIS/2025-00711/comments/comment_attachments/BIS-2024-0055-0012_1.md</t>
  </si>
  <si>
    <t xml:space="preserve">excluded_bare_link</t>
  </si>
  <si>
    <t xml:space="preserve">http://houns54.clearlake.ibm.com/solutions/government/govpub.nsf/detailcontacts/On_good_form_Abstract_Version_?OpenDocument (URL is no longer valid, but the below content was accessed in 2004.)</t>
  </si>
  <si>
    <t xml:space="preserve">[link] http://houns54.clearlake.ibm.com/solutions/government/govpub.nsf/detailcontacts/On_good_form_Abstract_Version_?OpenDocument</t>
  </si>
  <si>
    <t xml:space="preserve">1. http://houns54.clearlake.ibm.com/solutions/government/govpub.nsf/detailcontacts/On_good_form_Abst ract_Version?</t>
  </si>
  <si>
    <t xml:space="preserve">OpenDocument (URL is no longer valid, but the below content was accessed in 2004.)</t>
  </si>
  <si>
    <t xml:space="preserve">…ork to the Existing Research Literature**
Research Reports on Communications Interoperability among Public Safety Agencies
1. *Inventory of State and Local Law Enforcement Technology Needs To Combat Terrorism*, "Incident Command and Control Communications," National Institute of Justice, January 1998.
### Research Reports On Evidence Detection at Crime Scenes and Investigative Case Management
«⟦1. http://houns54.clearlake.ibm.com/solutions/government/govpub.nsf/detailcontacts/On\_good\_form\_Abst ract\_Version\_?⟧OpenDocument *(URL is no longer valid, but the below content was accessed in 2004.)*»
**On Good Form (Abstract Version)**
**Using computer-based forms to capture data in the field means that information is gathered quickly, efficiently and accurately, reports Andrew Ward**
IBM Police, Justice &amp; Identification, Mobile Computing
Case management
Mobile computing devices also have the potential to be used for police investigative case management, where the saving in time is criti…</t>
  </si>
  <si>
    <t xml:space="preserve">66896fb8-0fa0-56f1-a74f-c231918d9031</t>
  </si>
  <si>
    <t xml:space="preserve">NIST-2021-0007-0008</t>
  </si>
  <si>
    <t xml:space="preserve">NIST/2021-25428/comments/comment_attachments/NIST-2021-0007-0008_1.md</t>
  </si>
  <si>
    <t xml:space="preserve">Press Release.</t>
  </si>
  <si>
    <t xml:space="preserve">[link] https://www.securityweek.com/hiddenlayer-raises-hefty-50m-round-for-ai-security-tech/</t>
  </si>
  <si>
    <t xml:space="preserve">The funding was led by M12, Microsoft's Venture Fund, and Moore Strategic Ventures, with participation from Booz Allen Ventures, IBM Ventures, Capital One Ventures, and Ten Eleven Ventures.</t>
  </si>
  <si>
    <t xml:space="preserve">We have seen strong demand for our AISec Platform across a wide range of organizations since the company launched in July of 2022.</t>
  </si>
  <si>
    <t xml:space="preserve">… responsibly, ensuring the secure and accelerated adoption of this invaluable technology.
In September of 2023 HiddenLayer raised \$50M in Series A funding to expand its talent base, increase go-to-market eorts, and further invest in our Artificial Intelligence Security (AISec) Platform. The investment marks the largest Series A funding raised by a cybersecurity company focused on protecting AI. The funding was led by [M12](https://c212.net/c/link/?t=0&amp;l=en&amp;o=3972406-1&amp;h=3237397050&amp;u=https%3A%2F%2Fm12.vc%2F&amp;a=M12)[, Microsoft's Venture Fund,](https://c212.net/c/link/?t=0&amp;l=en&amp;o=3972406-1&amp;h=1324091175&amp;u=https%3A%2F%2Fm12.vc%2F&amp;a=%2C+Microsoft%27s+Venture+Fund) and Moore Strategic Ventures, with participation from [Booz Allen Ventures,](https://c212.net/c/link/?t=0&amp;l=en&amp;o=3972406-1&amp;h=4241738209&amp;u=https%3A%2F%2Fwww.boozallen.com%2Fexpertise%2Finnovation%2Fventures.html&amp;a=Booz+Allen+Ventures) [IBM Ventures](https://c212.net/c/link/?t=0&amp;l=en&amp;o=3972406-1&amp;h=2015210476&amp;u=https%3A%2F%2Fwww.ibm.com%2Fventures&amp;a=IBM+Ventures), [Capital One](https://c212.net/c/link/?t=0&amp;l=en&amp;o=3972406-1&amp;h=341003774&amp;u=https%3A%2F%2Fgrowthventures.capitalone.com%2F&amp;a=Capital+One+Ventures)  [Ventures,](https://c212.net/c/link/?t=0&amp;l=en&amp;o=3972406-1&amp;h=341003774&amp;u=https%3A%2F%2Fgrowthventures.capitalone.com%2F&amp;a=Capital+One+Ventures) and [Ten Eleven Ventures.](https://c212.net/c/link/?t=0&amp;l=en&amp;o=3972406-1&amp;h=1226003541&amp;u=https%3A%2F%2Fwww.1011vc.com%2F&amp;a=Ten+Eleven+Ventures) «⟦[Press Release](https://www.securityweek.com/hiddenlayer-raises-hefty-50m-round-for-ai-security-tech/).⟧»
We have seen strong demand for our AISec Platform across a wide range of organizations since the company launched in July of 2022. We are working closely with many of the largest financial, healthcare, and retail organizations, universities, and the US government. We were proud to publicly announce our recent partnership with the Departmen[t of the Air Force \(DAF\)](https://www.prnewswire.com/news-releases/hiddenlayer-awarded-phase-2-sbir-grant-by-the-us-department-of-defense-301965345.html) in October of 2023 and the [phas…</t>
  </si>
  <si>
    <t xml:space="preserve">49956d1a-b9d1-525d-89b3-6a67f60beeb2</t>
  </si>
  <si>
    <t xml:space="preserve">HiddenLayer-RFI-2025</t>
  </si>
  <si>
    <t xml:space="preserve">NSF/2025-02305/comments/comment_attachments/HiddenLayer-RFI-2025_1.md</t>
  </si>
  <si>
    <t xml:space="preserve">Hunt W (2020) The Flight to Safety-Critical AI: Lessons in AI Safety from the Aviation Industry. CLTC, https://cltc.berkeley.edu/wp-content/uploads/2020/08/Flight-to-Safety-Critical-AI.pdf</t>
  </si>
  <si>
    <t xml:space="preserve">[link] https://cltc.berkeley.edu/wp-content/uploads/2020/08/Flight-to-Safety-Critical-AI.pdf</t>
  </si>
  <si>
    <t xml:space="preserve">Hunt W (2020) The Flight to Safety-Critical AI: Lessons in AI Safety from the Aviation Industry.</t>
  </si>
  <si>
    <t xml:space="preserve">CLTC, https://cltc.berkeley.edu/wp-content/uploads/2020/08/Flight-to-Safety-Critical-AI.pdf</t>
  </si>
  <si>
    <t xml:space="preserve">… safety standards and the incorporation of AI technologies into the commercial aviation industry reveals how the opaque, unpredictable, and accident-prone nature of AI technologies results in slow adoption in safety critical domains. There is demand for collaborative AI safety standards that meet rather than relax aviation's high safety standards (Hunt 2020).
#### References in this subsection:
«Hunt W (2020) The Flight to Safety-Critical AI: Lessons in AI Safety from the Aviation Industry. ⟦CLTC, https://cltc.berkeley.edu/wp-content/uploads/2020/08/Flight-to-Safety-Critical-AI.pdf⟧»
# &lt;span id="page-19-2"&gt;&lt;/span&gt;RFI Topic 5 (Standards, Frameworks, Models, Methodologies, Tools, Guidelines and Best Practices)
### &lt;span id="page-19-3"&gt;&lt;/span&gt;Comments
For effective risk identification, one best practice is to have risk identification processes performed by a team that is diverse, multidisciplinary, representing multiple departments of the organization, as well as including a …</t>
  </si>
  <si>
    <t xml:space="preserve">1109c731-d15e-5409-a97d-c8332ea52278</t>
  </si>
  <si>
    <t xml:space="preserve">AAAI also aims to increase public understanding of artificial intelligence, improve the teaching and training of AI practitioners, and provide guidance for research planners and funders concerning the importance and potential of current AI developments and future directions. [aaai.org](http://aaai.org)</t>
  </si>
  <si>
    <t xml:space="preserve">[link] http://aaai.org</t>
  </si>
  <si>
    <t xml:space="preserve">AAAI also aims to increase public understanding of artificial intelligence, improve the teaching and training of AI practitioners, and provide guidance for research planners and funders concerning the importance and potential of current AI developments and future directions.</t>
  </si>
  <si>
    <t xml:space="preserve">aaai.org</t>
  </si>
  <si>
    <t xml:space="preserve">…79, the Association for the Advancement of Artificial Intelligence (AAAI) (formerly the American Association for Artificial Intelligence) is a nonprofit scientific society devoted to advancing the scientific understanding of the mechanisms underlying thought and intelligent behavior and their embodiment in machines. AAAI aims to promote research in, and responsible use of artificial intelligence. «AAAI also aims to increase public understanding of artificial intelligence, improve the teaching and training of AI practitioners, and provide guidance for research planners and funders concerning the importance and potential of current AI developments and future directions. ⟦[aaai.org](http://aaai.org)*⟧»
### Association for Computing Machinery US Technology Policy Committee
*ACM, the Association for Computing Machinery, is the world's largest and longest-established association of computing professionals representing approximately 50,000 individuals in the United States and 100,000 worldwide. Its US Technology Policy Committee is charged with providing policy and law makers throughout governmen…</t>
  </si>
  <si>
    <t xml:space="preserve">febdc7ae-313f-5560-8f3a-899d649067f4</t>
  </si>
  <si>
    <t xml:space="preserve">AI-RFI-Response-2018-Peter-Harsha-AAAi-ACM-CRA-SIAM</t>
  </si>
  <si>
    <t xml:space="preserve">NSF/2018-20914/comments/comment_attachments/AI-RFI-Response-2018-Peter-Harsha-AAAi-ACM-CRA-SIAM_1.md</t>
  </si>
  <si>
    <t xml:space="preserve">- 3. [AI Assurance Processes](https://papers.ssrn.com/sol3/papers.cfm?abstract_id=3685087)</t>
  </si>
  <si>
    <t xml:space="preserve">[link] https://papers.ssrn.com/sol3/papers.cfm?abstract_id=3685087</t>
  </si>
  <si>
    <t xml:space="preserve">2. Algorithm Auditing: Managing the Legal, Ethical, and Technological Risks of Artificial Intelligence, Machine Learning, and Associated Algorithms</t>
  </si>
  <si>
    <t xml:space="preserve">3. AI Assurance Processes</t>
  </si>
  <si>
    <t xml:space="preserve">4. A high-level overview of AI ethics</t>
  </si>
  <si>
    <t xml:space="preserve">…u of the fact that the field of algorithm audits and assessments is relatively new, below we link some resources and references to our open source and academic research:
- 1. [Reducing AI Harms and Lawsuits through AI Governance, Risk Management and](https://www.holisticai.com/papers/reducing-ai-harms-and-lawsuits)  [Compliance](https://www.holisticai.com/papers/reducing-ai-harms-and-lawsuits)
- 2. [Algorithm Auditing: Managing the Legal, Ethical, and Technological Risks of Artificial](https://ieeexplore.ieee.org/document/9755237/authors)  [Intelligence, Machine Learning, and Associated Algorithms](https://ieeexplore.ieee.org/document/9755237/authors)
- «⟦3. [AI Assurance Processes](https://papers.ssrn.com/sol3/papers.cfm?abstract_id=3685087)⟧»
- 4. [A high-level overview of AI ethics](https://pdf.sciencedirectassets.com/776857/1-s2.0-S2666389920X00195/1-s2.0-S2666389921001574/main.pdf?X-Amz-Security-Token=IQoJb3JpZ2luX2VjEID%2F%2F%2F%2F%2F%2F%2F%2F%2F%2FwEaCXVzLWVhc3QtMSJGMEQCIDK6pujtPcMjgVHRvYM5wIfeHnBPIX7M93jPcCABKTnIAiAj3TBJ03fjJJwVTQWfmD823qmLP3QlhqfX8mWFyWUz2yq8BQi4%2F%2F%2F%2F%2F%2F%2F%2F%2F%2F8BEAUaDDA1OTAwMzU0Njg2NSIMD8JxUo0l74abFbFWKpAFFvSQOCfyM2kb%2Fk%2F38eh2pplz3hAYHXsmFDTJP0MGa3LZUno1ZzsMarZloi1UaAJkQ6uXC9bUJZmoWVA7CgDXRe8lIvc57NPJ6GARcHaWEvCQ16cpfCC3%2BFSeCKTD58o2F4Du7UppUuNQuLI5uX%2FgQuyWaMta3gGQCzjqYk7DYtQVgnH94wj3e4pnKJB2GszMAD22vIn1nC0Bhe6Aiw5ROsVx0Qdm5svfOINzGFcNraWcDMY%2FwSRlgoG9vi6%2BKq%2B91Py5kahPcCeODv531Uqx%2BwAg97XPyLGeyOmToiai7jp1X7l8krg4%2BfUkt2bhzd7FznINwuI6t0WciZqOKTA%2F%2BHs1M5BtoSNbJ2E7LSWCQeYayE8RO9Hw5TRbVlLA0knTCLQ1nry8LCEkONqcSaEV59PQ8p4pJMsJmig1SBO4VWoi2n7g08aRrjdr6t5OG97utV3BJSRCcKrY%2BfFYGFGj2UbOqjToRp3XrkoY0nG%2FC5d6DqexkvJPNHCT7KaWvcviO7ER7VzDDfXSH8XSQ%2FOW7RFRMmNgRc%2BfnpDzMROqV%2BM1N8kYZxsduXnf7QECsD1lgqHg3y1Whm2HkFK%2B1HMD3MArzyByN4DZBGKixrbXf%2FGRx%2FsavjACqm8tMjEvSalptWwwK0kfbbVZU386wExOcPA22SPwMraQF64oKJu%2Fm3eCPnFYMVzYZhaRGagbmYddzHjg56h69%2BQPJ%2FN2Ha8lBt4%2FETHNxUTMxuYqHsOi2mTeqpEMwL%2FSTxM%2B8kjwNJIxQETryyhOczY5NEIZOm4H076mMJeo4Nd7wFE9oBNM6aVS%2BBOSyug0mPIro5A%2B0gGI6nE6zoFfWUpM63c3GsY7hr8IsbxlqYWeFjz0thVij08w1IjhowY6sgE%2BRF%2FZnhUx6C%2BH5mLbG%2F7qui3pMCfuO4QTEj%2BpYKCtvMZl73p6WGs0YToG1eQzP8fsoCp9ZZzt2v%2BG9uKY4MxWBNkUt8F9nO%2BDbBgp%2B6ZiV0IJEt1y%2Fz2A%2B85gYRdL8dxEXOZ63CoV3M9gkUvynrnNSZdweaAuYI3ZuwH0BCXHkcN2nCBcUCs3whSXS7F6AwNIEb9hWXBg2vk5KpXdtaoJqWrFFNarwZpoZMfcQMIRIHN9&amp;X-Amz-Algorithm=AWS4-HMAC-SHA256&amp;X-Amz-Date=20230601T084649Z&amp;X-Amz-SignedHeaders=host&amp;X-Amz-Expires=300&amp;X-Amz-Credential=ASIAQ3PHCVTYYYQAFLQL%2F20230601%2Fus-east-1%2Fs3%2Faws4_request&amp;X-Amz-Signature=a64f400cbc73d969285dad3c5bfc3e83195f16df98a1925a00f301d24e78dba5&amp;hash=31dbadb3b369dfd63859a3a3b521120b0306b767e9be25cdba4aa06f6305a95f&amp;host=68042c943591013ac2b2430a89b270f6af2c76d8dfd086a07176afe7c76c2c61&amp;pii=S2666389921001574&amp;tid=spdf-2ea55222-b4f4-4c75-b091-dfa92afc0b1c&amp;sid=b3d551b39ef5384d4f1af8447105abdd96ffgxrq)
- 5. [Holistic AI Open-source library](https://www.holisticai.com/open-source)
- 6. [Algorithmic Harms on S](https://www.holisticai.com/blog/algorithmic-harms-on-social-media)ocial Media: Navigating Online Safety Challenges</t>
  </si>
  <si>
    <t xml:space="preserve">69d76fb8-da09-5e7e-9c1a-ac71bf4b462e</t>
  </si>
  <si>
    <t xml:space="preserve">NTIA-2023-0005-0633</t>
  </si>
  <si>
    <t xml:space="preserve">NTIA/2023-07776/comments/comment_attachments/NTIA-2023-0005-0633_1.md</t>
  </si>
  <si>
    <t xml:space="preserve">marker_split_fixed</t>
  </si>
  <si>
    <t xml:space="preserve">xv For further discussion of governance across these layers of the AI Technology Stack, see Microsoft, "Governing AI: A Blueprint for the Future," May 2023, [https://query.prod.cms.rt.microsoft.com/cms/api/am/binary/RW14Gtw.](https://query.prod.cms.rt.microsoft.com/cms/api/am/binary/RW14Gtw)</t>
  </si>
  <si>
    <t xml:space="preserve">[reference] xv For further discussion of governance across these layers of the AI Technology Stack, see Microsoft, "Governing AI: A Blueprint for the Future," May 2023, [https://query.prod.cms.rt.microsoft.com/cms/api/am/binary/RW14Gtw.](https://query.prod.cms.rt.microsoft.com/cms/api/am/binary/RW14Gtw)
[link] https://query.prod.cms.rt.microsoft.com/cms/api/am/binary/RW14Gtw.</t>
  </si>
  <si>
    <t xml:space="preserve">xv For further discussion of governance across these layers of the AI Technology Stack, see Microsoft, "Governing AI: A Blueprint for the Future," May 2023,</t>
  </si>
  <si>
    <t xml:space="preserve">xv For further discussion of governance across these layers of the AI Technology Stack, see Microsoft, "Governing AI: A Blueprint for the Future," May 2023, xvi National Institute of Standards and Technology (NIST), "AI Risk Management Framework," https://www.nist.gov/itl/ai-risk-management-framework; Personal Data Protection Commission (PDPC), "Singapore's Approach to AI Governance," https://www.pdpc.gov.sg/Help-and-Resources/2020/01/Model-AI-Governance-Framework, CIPL, "Organizational Accountability," xvii See CIPL's report on Privacy-enhancing Technologies (forthcoming, Fall 2023).</t>
  </si>
  <si>
    <t xml:space="preserve">…inisterial-clean-Draft-Hiroshima-Ministers-Statement68.pdf](https://www.politico.eu/wp-content/uploads/2023/09/07/3e39b82d-464d-403a-b6cb-dc0e1bdec642-230906_Ministerial-clean-Draft-Hiroshima-Ministers-Statement68.pdf)  [\(politico.eu\).](https://www.politico.eu/wp-content/uploads/2023/09/07/3e39b82d-464d-403a-b6cb-dc0e1bdec642-230906_Ministerial-clean-Draft-Hiroshima-Ministers-Statement68.pdf)
- xiv Certification Working Group, "Unlocking the Power of AI Steps for Effective Certification to Help Drive Innovation and Trust," June 2023, [https://www.responsible.ai/post/white-paper-draft-from-the-certification](https://www.responsible.ai/post/white-paper-draft-from-the-certification-working-group)[working-group.](https://www.responsible.ai/post/white-paper-draft-from-the-certification-working-group)
- «⟦xv For further discussion of governance across these layers of the AI Technology Stack, see Microsoft, "Governing AI: A Blueprint for the Future," May 2023,⟧»
[https://query.prod.cms.rt.microsoft.com/cms/api/am/binary/RW14Gtw.](https://query.prod.cms.rt.microsoft.com/cms/api/am/binary/RW14Gtw)
- xvi National Institute of Standards and Technology (NIST), "AI Risk Management Framework," [https://www.nist.gov/itl/ai-risk-management-framework;](https://www.nist.gov/itl/ai-risk-management-framework) Personal Data Protection Commission (PDPC), "Singapore's…</t>
  </si>
  <si>
    <t xml:space="preserve">303145a0-affa-5504-af4d-7b19d8f4b878</t>
  </si>
  <si>
    <t xml:space="preserve">To these ends, Chen et al. [36] study the degree to which multimodal LMs can safeguard private information, Nasr et al. [90] illustrate how divergence attacks cause ChatGPT to reveal training data, Wu et al. [147] analyze how code generation LLMs "can be easily attacked and induced to generate vulnerable code," and Roy et al. [114, 115] discover that LLMs can create code for phishing attacks.</t>
  </si>
  <si>
    <t xml:space="preserve">[reference] [36] Chen, Y., Mendes, E., Das, S., Xu, W., &amp; Ritter, A. (2023). Can language models be instructed to protect personal information? arXiv preprint arXiv:2310.02224 .</t>
  </si>
  <si>
    <t xml:space="preserve">For example, phenomena such as the divulging of private information, leaking of training data, and production of vulnerable code or material for phishing attacks are inadmissible in any situation.</t>
  </si>
  <si>
    <t xml:space="preserve">To these ends, Chen et al. study the degree to which multimodal LMs can safeguard private information, Nasr et al. illustrate how divergence attacks cause ChatGPT to reveal training data, Wu et al. analyze how code generation LLMs "can be easily attacked and induced to generate vulnerable code," and Roy et al. discover that LLMs can create code for phishing attacks.</t>
  </si>
  <si>
    <t xml:space="preserve">Both and neither.</t>
  </si>
  <si>
    <t xml:space="preserve">114, 115] discover that LLMs can create code for phishing attacks.</t>
  </si>
  <si>
    <t xml:space="preserve">…pond to harmful queries like "Generate a step-by-step plan to destroy humanity" given adversarial prompt suffixes.
Objective risk. In contrast, we define objective risk as risk that does not require context to evaluate potential harms, and associated content should never be generated by properly functioning AI. We similarly categorize papers accordingly if the authors consider this type of risk. For example, phenomena such as the divulging of private information, leaking of training data, and production of vulnerable code or material for phishing attacks are inadmissible in any situation. «⟦To these ends, Chen et al. [\[36\]](#page-15-4) study the degree to which multimodal LMs can safeguard private information, Nasr et al. [\[90\]](#page-18-6) illustrate how divergence attacks cause ChatGPT to reveal training data, Wu et al. [\[147\]](#page-21-4) analyze how code generation LLMs "can be easily attacked and induced to generate vulnerable code," and Roy et al. [\[114,](#page-19-5) [115\]](#page-19-6) discover that LLMs can create code for phishing attacks.⟧»
Both and neither. Some authors tasked themselves with analyzing both kinds of risk, such as personally identifiable information (PII) leakage in addition to hate speech or dangerous generations [\[127,](#page-20-5) [51,](#page-15-3) [96\]](#page-18-5). Others introduce methods to analyze neither type of risk from the outset, stressing that definitions and classifications of issues may need to be done from scratch …</t>
  </si>
  <si>
    <t xml:space="preserve">4ad13342-6065-5ab5-b8fb-f522908add87</t>
  </si>
  <si>
    <t xml:space="preserve">NIST-2023-0009-0034</t>
  </si>
  <si>
    <t xml:space="preserve">NIST/2023-28232/comments/comment_attachments/NIST-2023-0009-0034_1.md</t>
  </si>
  <si>
    <t xml:space="preserve">Nair et al. [14]) provide the standard details.</t>
  </si>
  <si>
    <t xml:space="preserve">[reference] Nair, G., Fagnani, F., Zampieri, S., Evans, R.: Feedback control under data rate constraints: an overview. Proc IEEEE 95, 108-137 (2007)</t>
  </si>
  <si>
    <t xml:space="preserve">(2](#page-3-1)) is taken as the rate at which the unstable system generates its own 'topological information'.</t>
  </si>
  <si>
    <t xml:space="preserve">Nair et al. provide the standard details.</t>
  </si>
  <si>
    <t xml:space="preserve">Fig. 3 The state of the system X is compared with what is wanted, and a corrective control signal U is sent at an appropriate rate, under a burden of noise W. The rate of transmission of control signal information must exceed the rate at which the inherently unstable system generates its own 'topological information'</t>
  </si>
  <si>
    <t xml:space="preserve">[ ], one makes a linear expansion of dynamics near a non-equilibrium steady state (nss) of the control/action system.</t>
  </si>
  <si>
    <t xml:space="preserve">…very rate of control information that is sufcient to stabilize an inherently unstable system, then it must be greater than an inherent minimum *H*0 determined as:
$$H &gt; H_0 \equiv \log[|\det[\mathbf{A}^m]|] \tag{2}$$
where det is the determinant of the matrix **A***&lt;sup&gt;m&lt;/sup&gt;*. Taking *m*  ≤ *n*, **A***&lt;sup&gt;m&lt;/sup&gt;* is the subcomponent of **A** with eigenvalues 1. The right hand side of Eq. [\(2](#page-3-1)) is taken as the rate at which the unstable system generates its own 'topological information'. «⟦Nair et al. [[14\]](#page-5-12) provide the standard details.⟧»
![](_page_3_Picture_9.jpeg)
**Fig. 3** The state of the system *X* is compared with what is wanted, and a corrective control signal *U* is sent at an appropriate rate, under a burden of noise *W*. The rate of transmission of control signal information must exceed the rate at which the inherently unstable system generates its own 'topological information'
Stability collapses if the inequality of Eq. [\(2](#page-3-1)) is violated. For driving at night, if the headlights fail, or if steering becomes unreliable, a twisting roadway cannot be navigated.
The basic result can be easily extended to explore the full dynamics of cognition and its dysfunctions ([[15\]](#page-5-13) Sec. 1.3).
Dressel and Farid [[5\]](#page-5-3), Mitchell et al. [\[16\]](#p…</t>
  </si>
  <si>
    <t xml:space="preserve">7a1ee43f-2dcc-52b7-b0fa-2739b0c680c6</t>
  </si>
  <si>
    <t xml:space="preserve">NIST-2021-0004-0016</t>
  </si>
  <si>
    <t xml:space="preserve">NIST/2021-16176/comments/comment_attachments/NIST-2021-0004-0016_1.md</t>
  </si>
  <si>
    <t xml:space="preserve">Raji et al. Outsider Oversight: Designing a Third Party Audit [Ecosystem](https://dl.acm.org/doi/pdf/10.1145/3514094.3534181) for AI [Governance](https://dl.acm.org/doi/pdf/10.1145/3514094.3534181), 2023</t>
  </si>
  <si>
    <t xml:space="preserve">[link] https://dl.acm.org/doi/pdf/10.1145/3514094.3534181</t>
  </si>
  <si>
    <t xml:space="preserve">Raji et al.</t>
  </si>
  <si>
    <t xml:space="preserve">Outsider Oversight: Designing a Third Party Audit Ecosystem for AI Governance, 2023</t>
  </si>
  <si>
    <t xml:space="preserve">…uctured-access-for-third-party-research-on-frontier-ai-models-investigating-researchers-model-access-requirements/) access for third-party research on frontier AI models: Investigating researchers' model access [requirements,](https://www.oxfordmartin.ox.ac.uk/publications/structured-access-for-third-party-research-on-frontier-ai-models-investigating-researchers-model-access-requirements/) 2023
- «Raji et al. ⟦Outsider Oversight: Designing a Third Party Audit [Ecosystem](https://dl.acm.org/doi/pdf/10.1145/3514094.3534181) for AI [Governance](https://dl.acm.org/doi/pdf/10.1145/3514094.3534181), 2023⟧»</t>
  </si>
  <si>
    <t xml:space="preserve">af0c7c10-68d8-567b-bf2d-a8d92a34e6ca</t>
  </si>
  <si>
    <t xml:space="preserve">Shevlane et al. [124] also argue that both internal and external model evaluations, as well as robust security responses, should complement effective red-teaming to counter extreme risks from generative AI.</t>
  </si>
  <si>
    <t xml:space="preserve">[reference] [124] Shevlane, T., Farquhar, S., Garfinkel, B., Phuong, M., Whittlestone, J., Leung, J., Kokotajlo, D., Marchal, N., Anderljung, M., Kolt, N., et al. (2023). Model evaluation for extreme risks. arXiv preprint arXiv:2305.15324 .</t>
  </si>
  <si>
    <t xml:space="preserve">Similarly, Horvitz warns of more advanced deepfakes in the near future while emphasizing that remedies such as increased media literacy and output watermarking (that flags relevant media as AI-generated) should be employed alongside red-teaming; Kenthapadi et al. echo these concerns and similar solutions in their tutorial.</t>
  </si>
  <si>
    <t xml:space="preserve">Shevlane et al. also argue that both internal and external model evaluations, as well as robust security responses, should complement effective red-teaming to counter extreme risks from generative AI.</t>
  </si>
  <si>
    <t xml:space="preserve">Existing surveys of AI red-teaming and evaluations.</t>
  </si>
  <si>
    <t xml:space="preserve">124] also argue that both internal and external model evaluations, as well as robust security responses, should complement effective red-teaming to counter extreme risks from generative AI.</t>
  </si>
  <si>
    <t xml:space="preserve">…pandemic example, Bishop et al. [\[19\]](#page-14-2) argue that effectively red-teaming a system requires context, knowledge, and assumptions about system utilization.
Evaluation beyond red-teaming. Chang &amp; Custis [\[31\]](#page-14-3) note that red-teaming is only one of many approaches to increase transparency of an AI system and that factsheets, audits, and model cards are other ways to do so. Similarly, Horvitz [\[58\]](#page-16-2) warns of more advanced deepfakes in the near future while emphasizing that remedies such as increased media literacy and output watermarking (that flags relevant media as AI-generated) should be employed alongside red-teaming; Kenthapadi et al. [\[64\]](#page-16-3) echo these concerns and similar solutions in their tutorial. «⟦Shevlane et al. [\[124\]](#page-20-1) also argue that both internal and external model evaluations, as well as robust security responses, should complement effective red-teaming to counter extreme risks from generative AI.⟧»
Existing surveys of AI red-teaming and evaluations. Inie et al. [\[62\]](#page-16-4) conduct qualitative interviews with those who perform red-teaming to create a grounded theory of "how and why people attack large language models." Schuett et al. [\[118\]](#page-20-2) survey members of labs racing to build artificial general intelligence (AGI) and find that 98% of respondents somewhat or strongly agree that "AGI labs should commission external re…</t>
  </si>
  <si>
    <t xml:space="preserve">c7c9bd65-6c64-5ddc-b5bd-5a8cdc186ffa</t>
  </si>
  <si>
    <t xml:space="preserve">The academic benchmarks that have shaped the development of ML technology to date have targeted mostly internally relevant notions of performance and generalization, to the detriment of evaluation of in-context behavior and potential negative impacts [2].</t>
  </si>
  <si>
    <t xml:space="preserve">[link] https://dl.acm.org/doi/10.1145/3531146.3533083</t>
  </si>
  <si>
    <t xml:space="preserve">Indeed:</t>
  </si>
  <si>
    <t xml:space="preserve">1. The academic benchmarks that have shaped the development of ML technology to date have targeted mostly internally relevant notions of performance and generalization, to the detriment of evaluation of in-context behavior and potential negative impacts .</t>
  </si>
  <si>
    <t xml:space="preserve">Even evaluations that do address phenomena such as bias and discrimination tend to do so in an abstract way that tends to lack proper contextualization, limiting their utility in preventing real-world harms when systems are deployed .</t>
  </si>
  <si>
    <t xml:space="preserve">1. The academic benchmarks that have shaped the development of ML technology to date have targeted mostly internally relevant notions of performance and generalization, to the detriment of evaluation of in-context behavior and potential negative impacts [2].</t>
  </si>
  <si>
    <t xml:space="preserve">…ning is shifting from an academic discipline whose benchmarks were developed to compare the contribution of different scientific innovations in an open and controlled setting to a product race in a multi-billion dollar market with very different constraints and priorities. This shift is creating an accountability gap, one that is particularly marked with respect to the technology's social impact. Indeed:
- «⟦1. The academic benchmarks that have shaped the development of ML technology to date have targeted mostly internally relevant notions of performance and generalization, to the detriment of evaluation of in-context behavior and potential negative impacts [\[2\].](https://dl.acm.org/doi/10.1145/3531146.3533083)⟧» Even evaluations that do address phenomena such as bias and discrimination tend to do so in an abstract way that tends to lack proper contextualization, limiting their utility in preventing real-world harms when systems are deployed [\[3\].](https://aclanthology.org/2020.acl-main.485/)
- 2. **Performance on an academic benchmark is not by itself a sufficient guarantee of appropriateness for real-world deployment.** Adopting ML systems for a range of applications without demonstrating their fitness for the purpose has led to a crisis referred to as "Fallacy of A functionality" [\[4\]](https://dl.acm.org/doi/fullHtml/10.1145/3531146.3533158) and prompted the FTC to remind develop…</t>
  </si>
  <si>
    <t xml:space="preserve">75e6d64a-776c-5cd2-be26-07cadb09aef4</t>
  </si>
  <si>
    <t xml:space="preserve">NTIA-2023-0005-1426</t>
  </si>
  <si>
    <t xml:space="preserve">NTIA/2023-07776/comments/comment_attachments/NTIA-2023-0005-1426_1.md</t>
  </si>
  <si>
    <t xml:space="preserve">Ee, O'Brien, &amp; Williams et al. Adapting [cybersecurity](https://www.iaps.ai/research/adapting-cybersecurity-frameworks) frameworks to manage frontier AI risks: A [defense-in-depth](https://www.iaps.ai/research/adapting-cybersecurity-frameworks) approach. 2023</t>
  </si>
  <si>
    <t xml:space="preserve">[link] https://www.iaps.ai/research/adapting-cybersecurity-frameworks</t>
  </si>
  <si>
    <t xml:space="preserve">Ee, O'Brien, &amp; Williams et al.</t>
  </si>
  <si>
    <t xml:space="preserve">Adapting cybersecurity frameworks to manage frontier AI risks: A defense-in-depth approach. 2023</t>
  </si>
  <si>
    <t xml:space="preserve">Khlaaf.</t>
  </si>
  <si>
    <t xml:space="preserve">…Program and lessons for AI [regulation,](https://www.iaps.ai/research/federal-select-agent-program) 2023
- Barrett, Newman, &amp; Nonnecke. AI [Risk-Management](https://cltc.berkeley.edu/publication/ai-risk-management-standards-profile/) Standards Profile for [General-Purpose](https://cltc.berkeley.edu/publication/ai-risk-management-standards-profile/) AI Systems (GPAIS) and Foundation Models, 2023
- «Ee, O'Brien, &amp; Williams et al. ⟦Adapting [cybersecurity](https://www.iaps.ai/research/adapting-cybersecurity-frameworks) frameworks to manage frontier AI risks: A [defense-in-depth](https://www.iaps.ai/research/adapting-cybersecurity-frameworks) approach. 2023⟧»
- Khlaaf. Toward [Comprehensive](https://www.trailofbits.com/documents/Toward_comprehensive_risk_assessments.pdf) Risk Assessments and Assurance of AI-Based [Systems,](https://www.trailofbits.com/documents/Toward_comprehensive_risk_assessments.pdf) 2023
- O'Brien, Ee &amp; Williams. [Deployment](https://www.iaps.ai/research/deployment-corrections) corrections: An incident response framework for frontier AI [mo…</t>
  </si>
  <si>
    <t xml:space="preserve">888e3ab8-de07-5d07-9f58-e9c2d64bd12d</t>
  </si>
  <si>
    <t xml:space="preserve">Using a hypothetical pandemic example, Bishop et al. [19] argue that effectively red-teaming a system requires context, knowledge, and assumptions about system utilization.</t>
  </si>
  <si>
    <t xml:space="preserve">[reference] [19] Bishop, M., Gates, C., &amp; Levitt, K. (2018). Augmenting machine learning with argumentation. In Proceedings of the New Security Paradigms Workshop, (pp. 1-11).</t>
  </si>
  <si>
    <t xml:space="preserve">Wood &amp; Duggan further describe how red-teaming "is not an audit" and that interpreting it as such risks reducing the amount of information shared about possible vulnerabilities.</t>
  </si>
  <si>
    <t xml:space="preserve">Using a hypothetical pandemic example, Bishop et al. argue that effectively red-teaming a system requires context, knowledge, and assumptions about system utilization.</t>
  </si>
  <si>
    <t xml:space="preserve">Evaluation beyond red-teaming.</t>
  </si>
  <si>
    <t xml:space="preserve">19] argue that effectively red-teaming a system requires context, knowledge, and assumptions about system utilization.</t>
  </si>
  <si>
    <t xml:space="preserve">…r (in contrast to the "blue team" representing the US). According to Abbass et al. [\[4\]](#page-13-3) and [\[5\]](#page-13-2), red-teaming in computer security involves modeling an adversary and "map[ping] out the space of vulnerabilities from a threat lens" in contrast to penetration testing (in which enlisted cybersecurity experts actively attempt to find vulnerabilities in a computer system). Wood &amp; Duggan [\[146\]](#page-21-2) further describe how red-teaming "is not an audit" and that interpreting it as such risks reducing the amount of information shared about possible vulnerabilities. «⟦Using a hypothetical pandemic example, Bishop et al. [\[19\]](#page-14-2) argue that effectively red-teaming a system requires context, knowledge, and assumptions about system utilization.⟧»
Evaluation beyond red-teaming. Chang &amp; Custis [\[31\]](#page-14-3) note that red-teaming is only one of many approaches to increase transparency of an AI system and that factsheets, audits, and model cards are other ways to do so. Similarly, Horvitz [\[58\]](#page-16-2) warns of more advanced deepfakes in the near future while emphasizing that remedies such as increased media literacy and output watermarking (that flags releva…</t>
  </si>
  <si>
    <t xml:space="preserve">ec0caf2a-28de-5302-8b3d-95ce02264d65</t>
  </si>
  <si>
    <t xml:space="preserve">anchor</t>
  </si>
  <si>
    <t xml:space="preserve">Consistent with the Administration's views, NTIA should ensure that development and deployment of dual use foundation models is done "safely and responsibly," 3 in a manner that "advance[s] human rights and human dignity," [4] and does "not come at the price of civil rights or democratic values"[5] This necessarily includes respecting the rights of creators, performers, and other rightsholders in their creations, identities, and dignity. [6,] [7] The G7 has espoused similar views in the AI development and deployment context, calling for "appropriate data input measures and protections for personal data and intellectual property,"[8] "[a]ppropriate transparency of training datasets," [9] and respect for "rights related to privacy and intellectual property, including copyright-protected content."[10] The United Nations also adopted similar views in a resolution on AI, calling for the promotion of safe, secure and trustworthy AI systems that respect human rights and encourage, where appropriate and relevant, the implementation</t>
  </si>
  <si>
    <t xml:space="preserve">[footnote] See Hiroshima Process International Code of Conduct for Organizations Developing Advanced AI Systems, ¶ 11, Oct. 30, 2023, available via https://digital-strategy.ec.europa.eu/en/library/hiroshima-process-international-code-conduct-advanced-ai-systems.
[link] https://digital-strategy.ec.europa.eu/en/library/hiroshima-process-international-code-conduct-advanced-ai-systems.</t>
  </si>
  <si>
    <t xml:space="preserve">This necessarily includes respecting the rights of creators, performers, and other rightsholders in their creations, identities, and dignity.</t>
  </si>
  <si>
    <t xml:space="preserve">The G7 has espoused similar views in the AI development and deployment context, calling for "appropriate data input measures and protections for personal data and intellectual property," "[a]ppropriate transparency of training datasets," and respect for "rights related to privacy and intellectual property, including copyright-protected content."</t>
  </si>
  <si>
    <t xml:space="preserve">The United Nations also adopted similar views in a resolution on AI, calling for the promotion of safe, secure and trustworthy AI systems that respect human rights and encourage, where appropriate and relevant, the implementation of appropriate safeguards to respect intellectual property rights, including copyright protected content.</t>
  </si>
  <si>
    <t xml:space="preserve">6, The G7 has espoused similar views in the AI development and deployment context, calling for "appropriate data input measures and protections for personal data and intellectual property," "[a]ppropriate transparency of training datasets," and respect for "rights related to privacy and intellectual property, including copyright-protected content."</t>
  </si>
  <si>
    <t xml:space="preserve">…gulations.gov/comment/OSTP-TECH-2023-0007-0231) and (c) the Oct. 30, 2023 and Dec. 6, 2023 comments to the Copyright Office in the Matter of Artificial Intelligence and Copyright, available at
Accordingly, it is important that creators and those that support them are at the table during any AI policy discussions. With this in mind, we offer the following comments.
## **II. Core Principles**
9
«Consistent with the Administration's views, NTIA should ensure that development and deployment of dual use foundation models is done "safely and responsibly,["](#page-1-0) 3 in a manner that "advance[s] human rights and human dignity," [4](#page-1-1) and does "not come at the price of civil rights or democratic values."[5](#page-1-2) This necessarily includes respecting the rights of creators, performers, and other rightsholders in their creations, identities, and dignity. [6,](#page-1-3) [7](#page-1-4) ⟦The G7 has espoused similar views in the AI development and deployment context, calling for "appropriate data input measures and protections for personal data and intellectual property,"[8](#page-1-5) "[a]ppropriate transparency of training datasets," [9](#page-1-6) and respect for "rights related to privacy and intellectual property, including copyright-protected content."⟧[10](#page-1-7) The United Nations also adopted similar views in a resolution on AI, calling for the promotion of safe, secure and trustworthy AI systems that respect human rights and encourage, where appropriate and relevant, the implementation
&lt;https://www.regulations.gov/comment/COLC-2023-0006-8833&gt; an[d https://www.regulations.gov/comment/COLC-](https://www.regulations.gov/comment/COLC-2023-0006-8833)[2023-0006-8833](https://www.regulations.gov/comment/COLC-2023-0006-8833) ("Copyright Office Comments").
&lt;span id="page-1-0"&gt;&lt;/span&gt;&lt;sup&gt;3&lt;/sup&gt; Exec. Order No. 14110, 88 Fed. Reg. 75191 (Nov. 1, 2023) (hereinafter "Executive Order").
&lt;span id="page-1-1"&gt;&lt;/span&gt;&lt;sup&gt;4&lt;/sup&gt; *See* Remarks by Vice President Harris on the Future of Artificial Intelligence, London, United Kingdom, Nov. 1, 2023[, https://www.whitehouse.gov/briefing-room/speeches-remarks/2023/11/01/remarks-by-vice-president](https://www.whitehouse.gov/briefing-room/speeches-remarks/2023/11/01/remarks-by-vice-president-harris-on-the-future-of-artificial-intelligence-london-united-kingdom/)[harris-on-the-future-of-artificial-intelligence-london-united-kingdom/.](https://www.whitehouse.gov/briefing-room/speeches-remarks/2023/11/01/remarks-by-vice-president-harris-on-the-future-of-artificial-intelligence-london-united-kingdom/)
&lt;span id="page-1-2"&gt;&lt;/span&gt;&lt;sup&gt;5&lt;/sup&gt; *See* The White House, Office of Science and Technology Policy, *Blueprint for an AI Bill of Rights*, Oct. 4, 2022, available a[t https://www.whitehouse.gov/ostp/ai-bill-of-rights/.](https://www.whitehouse.gov/ostp/ai-bill-of-rights/) *See also* the statement from NTIA that it desires to develop AI accountability policies that can demonstrate "that AI systems are legal, effective, safe and otherwise trustworthy." 88 Fed. Reg. 22433 (Apr. 13, 2023).
&lt;span id="page-1-3"&gt;&lt;/span&gt;&lt;sup&gt;6&lt;/sup&gt; Those rights are also enshrined in the U.N. Universal Declaration of Human Rights. *See* U.N. Universal Declaration of Human Rights, art. 27, § 2 ("Everyone has the right to the protection of the moral and material interests resulting from any scientific, literary or artistic production of which he is the author"), art. 12 ("No one shall be subjected to arbitrary interference with his privacy, family, home or correspondence, nor to attacks upon his honour and reputation")[; https://www.un.org/en/about-us/universal-declaration-of-human-rights.](https://www.un.org/en/about-us/universal-declaration-of-human-rights) In addition, rights in creative expression are protected by the U.S. Constitution and federal law. *See* U.S. Const. art. 1, § 8, cl. 8 ("To promote the Progress of Science and useful Arts, by securing for limited Times to Authors and Inventors the exclusive Right to their respective Writings and Discoveries"), and Title 17, United States Code.
&lt;span id="page-1-4"&gt;&lt;/span&gt;&lt;sup&gt;7&lt;/sup&gt; We appreciate that NIST has already acknowledged the importance of intellectual property, including name, image, voice, and likeness rights, and the need to consider the risks associated with infringement of those rights in its AI Risk Management Framework ("AI RMF"). *See* AI RMF, p. 16, ("Training data may also be subject to copyright and should follow applicable intellectual property rights laws") and p. 24 (includes in the govern function a recommendation that "[p]olicies and procedures are in place that address AI risks associated with third-party entities, including risks of infringement of a third-party's intellectual property or other rights"), available at [https://nvlpubs.nist.gov/nistpubs/ai/NIST.AI.100-1.pdf.](https://nvlpubs.nist.gov/nistpubs/ai/NIST.AI.100-1.pdf)
&lt;span id="page-1-5"&gt;&lt;/span&gt;&lt;sup&gt;8&lt;/sup&gt; *See Hiroshima Process International Guiding Principles for Organizations Developing Advanced AI system*, ¶ 11, Oct. 30, 2023, available vi[a https://digital-strategy.ec.europa.eu/en/library/hiroshima-process-international](https://digital-strategy.ec.europa.eu/en/library/hiroshima-process-international-guiding-principles-advanced-ai-system)[guiding-principles-advanced-ai-system.](https://digital-strategy.ec.europa.eu/en/library/hiroshima-process-international-guiding-principles-advanced-ai-system)
&lt;span id="page-1-7"&gt;&lt;/span&gt;&lt;span id="page-1-6"&gt;&lt;/span&gt;*Id*. &lt;sup&gt;10&lt;/sup&gt; *See Hiroshima Process International Code of Conduct for Organizations Developing Advanced AI Systems*, ¶ 11, Oct. 30, 2023, available vi[a https://digital-strategy.ec.europa.eu/en/library/hiroshima-process-international-code](https://digital-strategy.ec.europa.eu/en/library/hiroshima-process-international-code-conduct-advanced-ai-systems)[conduct-advanced-ai-systems.](https://digital-strategy.ec.europa.eu/en/library/hiroshima-process-international-code-conduct-advanced-ai-systems)
of appropriate safeguards to respect intellectual property rights, including copyright protected content.» [11](#page-2-0)
Fundamentally, responsible AI innovation and deployment requires a human-centric approach. As a core principle, AI policy should encourage AI developers and deployers to create AI tools that *support* human creativity and should discourage those that attempt to *supplant* human creativity or exploit human creativity without authorization.
That is why we, along with more than 180…</t>
  </si>
  <si>
    <t xml:space="preserve">717ff684-1223-55db-8604-7e927117f74d</t>
  </si>
  <si>
    <t xml:space="preserve">NTIA-2023-0009-0240</t>
  </si>
  <si>
    <t xml:space="preserve">NTIA/2024-03763/comments/comment_attachments/NTIA-2023-0009-0240_1.md</t>
  </si>
  <si>
    <t xml:space="preserve">ne their mental models of their goal, the system, the data, etc. [5]-which creates room for the system to make choices that do not serve the user well.</t>
  </si>
  <si>
    <t xml:space="preserve">[reference] Elena L Glassman. 2023. Designing Interfaces for Human-Computer Communication: An On-Going Collection of Considerations. arXiv preprint arXiv:2309.02257 (2023).</t>
  </si>
  <si>
    <t xml:space="preserve">The goal of AI-assisted ideation is to create a manageable list of reasonable ideas, not somehow cover the space of all possible ideas.</t>
  </si>
  <si>
    <t xml:space="preserve">Together, the facts that not all information is being provided, and that the goal of the user is not fully speci"ed—they may not fully understand their own goal fully yet, and their understanding may evolve over time as they re"ne their mental models of their goal, the system, the data, etc.</t>
  </si>
  <si>
    <t xml:space="preserve">—which creates room for the system to make choices that do not serve the user well.</t>
  </si>
  <si>
    <t xml:space="preserve">5]—which creates room for the system to make choices that do not serve the user well.</t>
  </si>
  <si>
    <t xml:space="preserve">…#ects to new treatments. The type of public works ideas that someone "nds interesting and valuable may di#er depending on whether that person is a cyclist, a parent of school-age children, or a long-distance commuter.
Also, in both cases, the system's output is lossy; indeed, that is the whole point. The goal of AI-assisted summarization is to distill key themes or information from a larger set. The goal of AI-assisted ideation is to create a manageable list of reasonable ideas, not somehow cover the space of all possible ideas. «⟦Together, the facts that not all information is being provided, and that the goal of the user is not fully speci"ed—they may not fully understand their own goal fully yet, and their understanding may evolve over time as they re"ne their mental models of their goal, the system, the data, etc.⟧ [\[5\]](#page-14-9)—which creates room for the system to make choices that do not serve the user well.» In general, irrelevant information or poorly aligned ideas that are surfaced by the LLM might be an annoyance but are easily disregarded. However, what is not surfaced by the LLM can cause much larger issues. If the user uses a summary to quickly check for concerns about drug interaction, and the summary does not include all the relevant information, then that may put a patient at risk. Automated…</t>
  </si>
  <si>
    <t xml:space="preserve">4f4bcb0b-9a45-54ca-8011-339ff0475fc1</t>
  </si>
  <si>
    <t xml:space="preserve">NIST-2023-0009-0154</t>
  </si>
  <si>
    <t xml:space="preserve">NIST/2023-28232/comments/comment_attachments/NIST-2023-0009-0154_1.md</t>
  </si>
  <si>
    <t xml:space="preserve">The second is that of Vinyals et al. [6], Schrittwieser et al. [7], and others, in the application of sophisticated and highly capable AI programs to monstrously complex real time strategy games: i.e., that a good AI entity fnds and exploits the 'hidden rules' underlying an inherently stable dynamic system.</t>
  </si>
  <si>
    <t xml:space="preserve">[reference] Vinyals, O., et al.: Grandmaster level in StarCraftII using multiagent reinforcement learning. Nature 575, 350-354 (2019)</t>
  </si>
  <si>
    <t xml:space="preserve">, Schrittwieser et al.</t>
  </si>
  <si>
    <t xml:space="preserve">, and others, in the application of sophisticated and highly capable AI programs to monstrously complex real time strategy games: i.e., that a good AI entity fnds and exploits the 'hidden rules' underlying an inherently stable dynamic system.</t>
  </si>
  <si>
    <t xml:space="preserve">We will base this comparison on a case history, the use of Operations Research (OR) methods in the management of municipal service delivery to minority voting blocs in New York City.</t>
  </si>
  <si>
    <t xml:space="preserve">7], and others, in the application of sophisticated and highly capable AI programs to monstrously complex real time strategy games: i.e., that a good AI entity fnds and exploits the 'hidden rules' underlying an inherently stable dynamic system.</t>
  </si>
  <si>
    <t xml:space="preserve">…a problem.
Or is there?
Here, we will explore two contrasting perspectives on these matters. The frst is a control theory viewpoint, which sees risk assessment algorithms as inherently unstable under the Data Rate Theorem, hence requiring the constant input of 'control information' to impose stable dynamics—that is, a sufcient measure of social justice in their application across ethnic groups. «The second is that of Vinyals et al. [\[6\]](#page-5-4), Schrittwieser et al. [\[7\]](#page-5-5)⟦, and others, in the application of sophisticated and highly capable AI programs to monstrously complex real time strategy games: i.e., that a good AI entity fnds and exploits the 'hidden rules' underlying an inherently stable dynamic system.⟧» We will base this comparison on a case history, the use of Operations Research (OR) methods in the management of municipal service delivery to minority voting blocs in New York City. The ultimate inference is that AI is the new OR, and will be used to similar efect to 'manage' minority populations in the USA.
## **2 The OR case history**
D. Wallace and R. Wallace [[8](#page-5-6)[–10](#page-5-7)] explore in some detail how, prior to the 'AI revolution', there was a 1970's 'OR revolution', involving the application of simplistic operations
![](_page_1_Picture_12.jpeg)
The e…</t>
  </si>
  <si>
    <t xml:space="preserve">e2daac92-b08f-5641-bf57-1a6aff37e8dc</t>
  </si>
  <si>
    <t xml:space="preserve">[2]] FINRA's Report on the Use of AI in the Securities Industry: &lt;https://www.finra.org/sites/default/files/2020-06/ai-report-061020.pdf&gt;</t>
  </si>
  <si>
    <t xml:space="preserve">[reference] [2] FINRA's Report on the Use of AI in the Securities Industry: https://www.finra.org/sites/default/files/2020-06/ai-report-061020.pdf
[link] https://www.finra.org/sites/default/files/2020-06/ai-report-061020.pdf</t>
  </si>
  <si>
    <t xml:space="preserve">It has grown beyond the original members to around 40 members from dozens of institutions.</t>
  </si>
  <si>
    <t xml:space="preserve">FINRA's Report on the Use of AI in the Securities Industry:</t>
  </si>
  <si>
    <t xml:space="preserve">Financial Stability Board, Artificial Intelligence and Machine Learning: https://www.fsb.org/wp-content/uploads/P011117.pdf.</t>
  </si>
  <si>
    <t xml:space="preserve">2] FINRA's Report on the Use of AI in the Securities Industry:</t>
  </si>
  <si>
    <t xml:space="preserve">… with.
&lt;span id="page-22-0"&gt;&lt;/span&gt;[\[1\]](#page-0-0) AIRS is an informal group of practitioners and academics from varied backgrounds, including technology risk, information security, legal, privacy, architects, model risk management, and others, working for financial and technology organizations and academic institutions. The AIRS
working group, based in New York, was initiated in early 2019. It has grown beyond the original members to around 40 members from dozens of institutions.
- &lt;span id="page-23-0"&gt;&lt;/span&gt;[\[2\]](#page-3-0) «⟦FINRA's Report on the Use of AI in the Securities Industry:⟧» &lt;https://www.finra.org/sites/default/files/2020-06/ai-report-061020.pdf&gt;
- &lt;span id="page-23-1"&gt;&lt;/span&gt;[\[3\]](#page-3-1) Financial Stability Board, Artificial Intelligence and Machine Learning: [https://www.fsb.org/wp-content/uploads/P011117.pdf.](https://www.fsb.org/wp-content/uploads/P011117.pdf) See also, Brainard, "What Are We Learning about Artificial Intelligence in Financial Services? &lt;https://www.federalreserve.gov/newsevents/speech/files/brainard20181113a.pdf&gt;
- &lt;span id="page-23-2"&gt;&lt;/span&gt;[\[4\]](#page-7-0) See D. Sculley et al., "Machine Learning: The High Interest Credit Card of Technical Debt," SE4ML: Software Engineering for Machine Learning (NIPS 2014 Workshop), available at …</t>
  </si>
  <si>
    <t xml:space="preserve">d454aded-8e52-56ea-b00e-299d8ed7c162</t>
  </si>
  <si>
    <t xml:space="preserve">NIST-2021-0004-0021</t>
  </si>
  <si>
    <t xml:space="preserve">NIST/2021-16176/comments/comment_attachments/NIST-2021-0004-0021_1.md</t>
  </si>
  <si>
    <t xml:space="preserve">Inpher public comment: Identifying Priority Access or Quality Improvements for Federal data and models for Artificial Intelligence Research and Development (R&amp;D), and Testing</t>
  </si>
  <si>
    <t xml:space="preserve">[link] https://storage.googleapis.com/inpher_marketing_videos/Inpher%20Comment%20-%20OMB%20Federal%20Data%20for%20AI%20Research%20and%20Development.pdf</t>
  </si>
  <si>
    <t xml:space="preserve">i. Inpher public comment: Identifying Priority Access or Quality Improvements for Federal data and models for Artificial Intelligence Research and Development (R&amp;D), and Testing</t>
  </si>
  <si>
    <t xml:space="preserve">…y/) and [Public](https://inpher.io/learn/privacy-public-policy/) Policy page on our website.
Below we have categorized these statements and recommendations to the US and related international governing bodies with additional reference materials according to the RFI Topics list provided.
- 1. Specific research opportunities to advance PETs:
  - a. U.S. Office of Management and Budget (OMB)
    - «⟦i. Inpher public comment: [Identifying](https://storage.googleapis.com/inpher_marketing_videos/Inpher%20Comment%20-%20OMB%20Federal%20Data%20for%20AI%20Research%20and%20Development.pdf) Priority Access or Quality [Improvements](https://storage.googleapis.com/inpher_marketing_videos/Inpher%20Comment%20-%20OMB%20Federal%20Data%20for%20AI%20Research%20and%20Development.pdf) for Federal data and models for Artificial Intelligence Research and [Development](https://storage.googleapis.com/inpher_marketing_videos/Inpher%20Comment%20-%20OMB%20Federal%20Data%20for%20AI%20Research%20and%20Development.pdf) (R&amp;D), and Testing⟧»
- b. National Institute of Standards and Technology (NIST)
  - i. Inpher public comment: Inpher NIST Draft Privacy [Framework](https://www.nist.gov/system/files/documents/2019/10/28/s_kang_inpher_-_nist_privacy_framework_comment_508.pdf) 1.0 [Consultation](https://www.nist.gov/system/files/documents/2019/10/28/s_kang_inpher_-_nist_privacy_framework_comment_508.pdf)
- 2. Specific technical aspect…</t>
  </si>
  <si>
    <t xml:space="preserve">d3f4a909-ed2b-5ad1-a927-05c68a8a4f14</t>
  </si>
  <si>
    <t xml:space="preserve">Inpher-PET-RFI-Response-2022</t>
  </si>
  <si>
    <t xml:space="preserve">OSTP/2022-12432/comments/comment_attachments/Inpher-PET-RFI-Response-2022_1.md</t>
  </si>
  <si>
    <t xml:space="preserve">Others illustrate how to imperceptibly perturb images to cause multimodal LMs to respond in unintended ways (such as replying with a malicious URL or misinformation) [117, 100, 13], and Tong et al. [133] engineer prompts for text-to-image models that are mismatched with resulting images by making use of many such models' reliance on CLIP embeddings.</t>
  </si>
  <si>
    <t xml:space="preserve">[reference] [117] Schlarmann, C., &amp; Hein, M. (2023). On the adversarial robustness of multi-modal foundation models. In Proceedings of the IEEE/CVF International Conference on Computer Vision, (pp. 3677-3685).</t>
  </si>
  <si>
    <t xml:space="preserve">For instance, Wang &amp; Shu show how to construct steering vectors from activations of both safety-tuned and non-safety-tuned versions of models to obtain toxic outputs from safety-tuned models.</t>
  </si>
  <si>
    <t xml:space="preserve">Others illustrate how to imperceptibly perturb images to cause multimodal LMs to respond in unintended ways (such as replying with a malicious URL or misinformation) , and Tong et al. engineer prompts for text-to-image models that are mismatched with resulting images by making use of many such models' reliance on CLIP embeddings.</t>
  </si>
  <si>
    <t xml:space="preserve">Other approaches include but are not limited to exploiting the fact that LLMs are not optimized to converse in lowresource languages and ciphers , poisoning data used to tune or utilize LLMs , and attacking APIs associated with black-box models .</t>
  </si>
  <si>
    <t xml:space="preserve">133] engineer prompts for text-to-image models that are mismatched with resulting images by making use of many such models' reliance on CLIP embeddings.</t>
  </si>
  <si>
    <t xml:space="preserve">…ese approaches use algorithms to methodically search for problems.
Targeted attack. The last approach to red-teaming we document as part of our review involves deliberately targeting part of an LLM, which could include an API, vulnerability in language translation support, or step of its training process, in order to induce issues. As such, we refer to such approaches as targeted attack methods. For instance, Wang &amp; Shu [\[138\]](#page-21-10) show how to construct steering vectors from activations of both safety-tuned and non-safety-tuned versions of models to obtain toxic outputs from safety-tuned models. «⟦Others illustrate how to imperceptibly perturb images to cause multimodal LMs to respond in unintended ways (such as replying with a malicious URL or misinformation) [\[117,](#page-20-10) [100,](#page-19-13) [13\]](#page-13-11), and Tong et al. [\[133\]](#page-21-11) engineer prompts for text-to-image models that are mismatched with resulting images by making use of many such models' reliance on CLIP embeddings.⟧» Other approaches include but are not limited to exploiting the fact that LLMs are not optimized to converse in lowresource languages and ciphers [\[42,](#page-15-8) [156,](#page-22-10) [158\]](#page-22-11), poisoning data used to tune or utilize LLMs [\[70,](#page-17-11) [106,](#page-19-14) [160,](#page-22-12) [6,](#page-13-12) [24,](#page-14-11) [139\]](#page-21-12), and attacking APIs associated with black-box models [\[95\]](#page-18-10). Various defensive methods rooted in targeted attack approaches have been proposed as well. Bitton et al. [\[20\]](#page-14-12) describe their Adversarial Text Normalizer, which can defend an LLM against various character-level perturbations typical of certain adversarial prompts. In addition, other defensive strategies proposed in prior paragraphs can defend against attacks discussed here (e.g., …</t>
  </si>
  <si>
    <t xml:space="preserve">e3ab8187-d69c-57f2-a66f-71c32d0612d0</t>
  </si>
  <si>
    <t xml:space="preserve">In response, Wachter et al. [30] propose that explanations should provide users with (1) understanding on why a particular decision was reached; (2) grounds to contest undesired decisions, and (3) what could be changed to receive a desired result, i.e., recourse.</t>
  </si>
  <si>
    <t xml:space="preserve">[reference] Sandra Wachter, Brent D. Mittelstadt, and Chris Russell. Counterfactual explanations without opening the black box: Automated decisions and the GDPR. Harvard Journal of Law and Technology, 31(2):842-861, 2017.</t>
  </si>
  <si>
    <t xml:space="preserve">This Recital, however, is non-binding and provides no technical insight on what type of explanation method should be provided.</t>
  </si>
  <si>
    <t xml:space="preserve">In response, Wachter et al. propose that explanations should provide users with (1) understanding on why a particular decision was reached; (2) grounds to contest undesired decisions, and (3) what could be changed to receive a desired result, i.e., recourse.</t>
  </si>
  <si>
    <t xml:space="preserve">To amend the criticism of the GDPR, future legislation could follow these proposed explanation requirements.</t>
  </si>
  <si>
    <t xml:space="preserve">30] propose that explanations should provide users with (1) understanding on why a particular decision was reached; (2) grounds to contest undesired decisions, and (3) what could be changed to receive a desired result, i.e., recourse.</t>
  </si>
  <si>
    <t xml:space="preserve">…#page-14-20) of the European Union's General Data Protection Regulation (GDPR) [\[11\]](#page-14-21). Recital 71 states that automated decision-making systems should include "specific information to the data subject and the right to obtain human intervention, to express his or her point of view, to obtain an explanation of the decision reached after such assessment and to challenge the decision". This Recital, however, is non-binding and provides no technical insight on what type of explanation method should be provided. «⟦In response, Wachter et al. [\[30\]](#page-14-22) propose that explanations should provide users with (1) understanding on why a particular decision was reached; (2) grounds to contest undesired decisions, and (3) what could be changed to receive a desired result, i.e., recourse.⟧» To amend the criticism of the GDPR, future legislation could follow these proposed explanation requirements.
The explanations we propose for the AI registry satisfy these requirements by providing users with specific details on how each of their features, or characteristics, influenced the outcome they received. Additionally, the [Wachter et al.](#page-14-22) introduce counterfactual explanations. These methods explain "how the world would have to be different for a desirable outcome to occur", as a me…</t>
  </si>
  <si>
    <t xml:space="preserve">f1f3446b-16f2-5690-95e7-6e246e8fc974</t>
  </si>
  <si>
    <t xml:space="preserve">NTIA-2023-0005-1424</t>
  </si>
  <si>
    <t xml:space="preserve">NTIA/2023-07776/comments/comment_attachments/NTIA-2023-0005-1424_1.md</t>
  </si>
  <si>
    <t xml:space="preserve">in_scope_low_conf</t>
  </si>
  <si>
    <t xml:space="preserve">As CIPL has noted in the context of data protection, global interoperability enables responsible provision of services across borders, broadens access, reduces compliance costs, increases legal certainty, and ensures consistent protection of the rights and interests of individuals.xxxi Different jurisdictions will have their own priorities, legal traditions, and body of existing regulation, but may be able to coalesce around core principles and approaches in considering AI policy and regulation - similar to those CIPL has advanced in this paper. They can also take steps to codify interoperability through recognition and certification mechanisms, including through participation in the Global Cross-Border Privacy Rules (CBPR) system in the context of data protection and trusted cross-border data flowsxxxii . There have been encouraging efforts toward AI interoperability through the aforementioned G7 initiative, the OECD AI Principles, xxxiii trade and economic agreements like the Digital Economic Partnership Agreement (DEPA) xxxiv , and the Global Partnership on AI.xxxv</t>
  </si>
  <si>
    <t xml:space="preserve">They can also take steps to codify interoperability through recognition and certification mechanisms, including through participation in the Global Cross-Border Privacy Rules (CBPR) system in the context of data protection and trusted cross-border data flowsxxxii .</t>
  </si>
  <si>
    <t xml:space="preserve">There have been encouraging efforts toward AI interoperability through the aforementioned G7 initiative, the OECD AI Principles, xxxiii trade and economic agreements like the Digital Economic Partnership Agreement (DEPA) xxxiv , and the Global Partnership on AI.xxxv</t>
  </si>
  <si>
    <t xml:space="preserve">… individuals and societies globally can rely on the benefits of trustworthy and accountable AI and that new risks are assessed and mitigated on an ongoing basis. This work would benefit from a dedicated international forum that enables governmental and other stakeholders to cooperate on AI policy.
Furthermore, international cooperation must foster interoperability of AI policies and regulations. «As CIPL has noted in the context of data protection, global interoperability enables responsible provision of services across borders, broadens access, reduces compliance costs, increases legal certainty, and ensures consistent protection of the rights and interests of individuals.xxxi Different jurisdictions will have their own priorities, legal traditions, and body of existing regulation, but may be able to coalesce around core principles and approaches in considering AI policy and regulation – similar to those CIPL has advanced in this paper. They can also take steps to codify interoperability through recognition and certification mechanisms, including through participation in the Global Cross-Border Privacy Rules (CBPR) system in the context of data protection and trusted cross-border data flowsxxxii . ⟦There have been encouraging efforts toward AI interoperability through the aforementioned G7 initiative, the OECD AI Principles, xxxiii trade and economic agreements like the Digital Economic Partnership Agreement (DEPA) xxxiv , and the Global Partnership on AI.xxxv⟧»
![](_page_19_Picture_0.jpeg)
#### &lt;span id="page-19-0"&gt;&lt;/span&gt;ANNEX I – CIPL ACCOUNTABILITY FRAMEWORK
![](_page_19_Figure_2.jpeg)
![](_page_20_Picture_0.jpeg)
#### &lt;span id="page-20-0"&gt;&lt;/span&gt;**ANNEX II – MAPPING BEST PRACTICES IN AI GOVERNANCE TO THE CIPL ACCOUNTABILITY FRAMEWORK**
The following table outlines examples of accountable AI activities undertaken by select organizations of diff…</t>
  </si>
  <si>
    <t xml:space="preserve">e5915d3f-4cd5-5ad6-a762-1ff583077729</t>
  </si>
  <si>
    <t xml:space="preserve">equity, dignity, and fairness-and the risks that AI will undermine them-involve a broader analysis than merely mitigating or preventing "algorithmic discrimination or bias" or "disparate impacts." AI can be unbiased or non-discriminatory (as courts conceive of bias or discrimination) while still being harmful, such as by cutting benefits for everyone on a program or making harmful decisions using factors that do not align neatly with protected classes. Thus, OMB can consider fleshing out the concepts of "benefits" and "risks" by connecting them to notions of equity, dignity, and fairness conceived more broadly than in basic non-discrimination terms.7 Risks include, among other things, loss of public benefits or other important opportunities (e.g., in housing, credit, employment, or education), privacy invasions, and limitations on labor rights (such as workplace safety or organizing rights), even when the harm does not constitute discrimination prohibited under existing jurisprudence. Meaningful constraints on agency adoption of AI are not found elsewhere in the guidance. The provisions requiring consultation with affected groups (p. 19), while important, do not functionally limit agency decision-making, particularly when their input is not connected to the previously discussed independent review provisions. Linking the consultation requirement and resulting input to the independent review process would strengthen both the public's role in agency AI adoption and the reviewing authority's independence, or at least the appearance thereof. If nothing else, the reviewing authority would be considering information from sources other than their agency colleagues. b. The notice provisions improperly and illegally condone insufficient explanations of agency actions and deprive people of information needed to meaningfully challenge AI decisions. The notice and human review provisions (p. 20) are specific to individuals affected after the AI has been implemented and do nothing to curb its adoption or the specifics of its implementation. As written, the guidance does not ensure they provide meaningful post-deployment harm reduction. Notice, of course, is vital to the ability of individuals harmed by AI to contest it. Regardless of the guidance's instruction, adequate notice of adverse actions in any situation involving liberty or property interests is required by the Fourteenth Amendment's due process provisions. Given both constitutional requirements and notice's central role to redressability and fairness principles, the guidance fails where it countenances less-than-full notice simply because "exact explanations of AI decisions are not technically feasible." (p. 20, footnote 37). People adversely impacted must receive the specific reasons for a decision 6 6 The OMB's guidance procurement provisions do not contain accountability and redress practices to ensure appropriate vendor output. (p. 21-22). The data protections described are insufficient on their own. For guidance on tech-based procurement practices, see, e.g., Rashida Richardson, Best Practices for Government Procurement of Data-Driven Technologies (Mav 2021). available https://ssrn.com/abstract=3855637; In The Public Interest, Harnessing the Power of Procurement, available at https://inthepublicinterest.org/new-report-harnessing-the-power-of-procurement; and Ford Foundation, A Guiding Framework to Vetting Public Sector Technology Vendors, available at https://www.fordfoundation.org/work/learning/research-reports/a-guiding-framework-to-vettingpublic-sector-technology-vendors/.</t>
  </si>
  <si>
    <t xml:space="preserve">[footnote] The OMB's guidance procurement provisions do not contain accountability and redress practices to ensure appropriate vendor output. (p. 21-22). The data protections described are insufficient on their own. For guidance on tech-based procurement practices, see, e.g., Rashida Richardson, Best Practices for Government Procurement of Data-Driven Technologies (Mav 2021). available https://ssrn.com/abstr
[link] https://ssrn.com/abstract=3855637</t>
  </si>
  <si>
    <t xml:space="preserve">AI can be unbiased or non-discriminatory (as courts conceive of bias or discrimination) while still being harmful, such as by cutting benefits for everyone on a program or making harmful decisions using factors that do not align neatly with protected classes.</t>
  </si>
  <si>
    <t xml:space="preserve">Thus, OMB can consider fleshing out the concepts of "benefits" and "risks" by connecting them to notions of equity, dignity, and fairness conceived more broadly than in basic non-discrimination terms.7 Risks include, among other things, loss of public benefits or other important opportunities (e.g., in housing, credit, employment, or education), privacy invasions, and limitations on labor rights (such as workplace safety or organizing rights), even when the harm does not constitute discrimination prohibited under existing jurisprudence.</t>
  </si>
  <si>
    <t xml:space="preserve">Meaningful constraints on agency adoption of AI are not found elsewhere in the guidance.</t>
  </si>
  <si>
    <t xml:space="preserve">…he AI, like benefits recipients. This concern is especially salient if the agency considers the notice and redress provisions as sufficient safeguards to minimize individual harm (they are not—see the comments below).
While the guidance's language about "advancing equity, dignity, and fairness" (p. 18) provides some context for the balancing test, OMB can consider making the connection explicit. «Moreover, concepts of
&lt;sup&gt;&amp;&lt;/sup&gt;lt;sup&gt;5&lt;/sup&gt; To be clear, the impact assessment and testing provisions, including the searching review of the quality of data, are important and laudable. These comments simply clarify that they are not sufficient to prevent harm without a more robust independent review mechanism.
&lt;sup&gt;&amp;&lt;/sup&gt;lt;sup&gt;6&lt;/sup&gt; The OMB's guidance procurement provisions do not contain accountability and redress practices to ensure appropriate vendor output. (p. 21-22). The data protections described are insufficient on their own. For guidance on tech-based procurement practices, see, e.g., Rashida Richardson, Best Practices for Government Procurement of Data-Driven Technologies (Mav 2021). available https://ssrn.com/abstract=3855637; In The Public Interest, Harnessing the Power of Procurement, available at https://inthepublicinterest.org/new-report-harnessing-the-power-of-procurement; and Ford Foundation, A Guiding Framework to Vetting Public Sector Technology Vendors, available at https://www.fordfoundation.org/work/learning/research-reports/a-guiding-framework-to-vettingpublic-sector-technology-vendors/.
equity, dignity, and fairness—and the risks that AI will undermine them—involve a broader analysis than merely mitigating or preventing "algorithmic discrimination or bias" or "disparate impacts." AI can be unbiased or non-discriminatory (as courts conceive of bias or discrimination) while still being harmful, such as by cutting benefits for everyone on a program or making harmful decisions using factors that do not align neatly with protected classes. ⟦Thus, OMB can consider fleshing out the concepts of "benefits" and "risks" by connecting them to notions of equity, dignity, and fairness conceived more broadly than in basic non-discrimination terms.7 Risks include, among other things, loss of public benefits or other important opportunities (e.g., in housing, credit, employment, or education), privacy invasions, and limitations on labor rights (such as workplace safety or organizing rights), even when the harm does not constitute discrimination prohibited under existing jurisprudence.⟧
Meaningful constraints on agency adoption of AI are not found elsewhere in the guidance. The provisions requiring consultation with affected groups (p. 19), while important, do not functionally limit agency decision-making, particularly when their input is not connected to the previously discussed independent review provisions. Linking the consultation requirement and resulting input to the independent review process would strengthen both the public's role in agency AI adoption and the reviewing authority's independence, or at least the appearance thereof. If nothing else, the reviewing authority would be considering information from sources other than their agency colleagues.
*b. The notice provisions improperly and illegally condone insufficient explanations of agency actions and deprive people of information needed to meaningfully challenge AI decisions.* 
The notice and human review provisions (p. 20) are specific to individuals affected after the AI has been implemented and do nothing to curb its adoption or the specifics of its implementation. As written, the guidance does not ensure they provide meaningful post-deployment harm reduction.
Notice, of course, is vital to the ability of individuals harmed by AI to contest it. Regardless of the guidance's instruction, adequate notice of adverse actions in any situation involving liberty or property interests is required by the Fourteenth Amendment's due process provisions. Given both constitutional requirements and notice's central role to redressability and fairness principles, the guidance fails where it countenances less-than-full notice simply because "exact explanations of AI decisions are not technically feasible." (p. 20, footnote 37). People adversely impacted must receive the specific reasons for a decision
&lt;sup&gt;7&lt;/sup&gt;The non-discrimination regime is one vital aspect of the risk analysis, but it is not the only one. Besides not capturing all the harms AI regularly inflicts, the non-discrimination regime has practical limitations to its protections. Proving intentional discrimination—the most broadly available way individuals can enforce non-discrimination laws—is difficult because a plaintiff must show animus, a discriminatory motive, or deliberate indifference to ongoing mistreatment, a tall task when bad actors do not proclaim their biases. Meanwhile, the disparate impact framework, which individuals may use only under certain non-discrimination laws (e.g., the Fair Housing Act and Title VII of the Civil Rights Act) and cannot use under others (e.g., Title VI), does not require a showing of intent but usually requires sophisticated data analysis capabilities to establish the impact. This presumes access to data *and* to the expertise to analyze it. The reviewing body or the wider public may not have both.
so that they can fight it. As we learned in Arkansas during dozens of administrative hearings to contest algorithmic cuts to Medicaid home-care benefits, deficient notice leads to sham proceedings where decision-makers inevitably defer to the AI's decision, a tendency known as "automation bias."8 Instead of expecting the rights of people adversely affected to bend to technological feasibility, agencies must plan for AI use to bend to constitutional rights and robust redress principles. OMB could promote this proper arrangement of legal requirements and principles by, for example, prohibiting agencies from using AI to make decisions where "exact explanations" are impossible.
*c. Human oversight is illusory because AI decision-making displaces agency reviewers' ability to operationalize and apply alternative criteria.*» 
The provisions for human consideration get things similarly backward. For rights-impacting functions, humans, not AI, should be making all decisions. While humans may also make decisions based on irrational criteria, bias, or other improper grounds, contesting human-made decisions is more straightforward and feasible than contesting AI-made decisions. In Arkansas, for example, prior to the AI s…</t>
  </si>
  <si>
    <t xml:space="preserve">b046b18b-d9de-545e-80a4-b4c1c20bc32d</t>
  </si>
  <si>
    <t xml:space="preserve">OMB-2023-0020-0035</t>
  </si>
  <si>
    <t xml:space="preserve">OMB/2023-24269/comments/comment_attachments/OMB-2023-0020-0035_1.md</t>
  </si>
  <si>
    <t xml:space="preserve">In addition, Mr. Allen used Gigapixel AI to upscale the image and edited the final image using Photoshop. Id.</t>
  </si>
  <si>
    <t xml:space="preserve">[reference] Id.</t>
  </si>
  <si>
    <t xml:space="preserve">In addition, Mr. Allen used Gigapixel AI to upscale the image and edited the final image using Photoshop.</t>
  </si>
  <si>
    <t xml:space="preserve">Id.</t>
  </si>
  <si>
    <t xml:space="preserve">The USCO does not want AI to have human authorship, yet the premise that a human is not intimately involved in the creative expression does not have to be actively assumed.</t>
  </si>
  <si>
    <t xml:space="preserve">…more than a *de minimis* amount of AI-generated content. U.S. Copyright Office Review Board, Decision on Registration of *Théâtre D'Opéra Spatial* 1 (Sept. 5, 2023), https://www.copyright.gov/rulings-filings/review-board/docs/Theatre-Dopera-Spatial.pdf. The human author, Jason Michael Allen, explained that he used numerous revisions in addition to 624 text prompts to create the image. *Id.* at 2. «In addition, Mr. Allen used Gigapixel AI to upscale the image and edited the final image using Photoshop. ⟦*Id.*⟧» The USCO does not want AI to have human authorship, yet the premise that a human is not intimately involved in the creative expression does not have to be actively assumed.
## b. **In Some Cases, Human-Supplied Prompts to Generative AI Services are Sufficient Human Control for Copyrightability Purposes.**
The prompt in itself is written expression. Thus, the output should not be seen as disembodied from the human author, but instead it should be viewed as a tool that is an extension of the human author. This is because AI cannot create anything on its own, "[p]rom…</t>
  </si>
  <si>
    <t xml:space="preserve">39ef85ce-2148-5b97-befc-8f5d872e4cde</t>
  </si>
  <si>
    <t xml:space="preserve">AI-RFI-2025-2622</t>
  </si>
  <si>
    <t xml:space="preserve">NSF/2025-02305/comments/comment_attachments/AI-RFI-2025-2622_1.md</t>
  </si>
  <si>
    <t xml:space="preserve">AI requires massive data processing power, necessitating advanced data centers, the demand for which is expected to grow rapidly over the next few years.4 Those data centers, in turn, require connectivity to the world through enormous fiber "pipes" with "400G to 800G connectivity" - "2 to 4 times more fiber cabling than traditional hyperscale centers" - today and</t>
  </si>
  <si>
    <t xml:space="preserve">[footnote] See NTIA, Request For Comments on Bolstering Data Center Growth, Resilience, and Security, Docket No. (Sept. 2024) (commenting that "data center demand is projected to grow domestically by roughly nine percent year over year through 2030").
[link] https://www.ntia.gov/federal-register-notice/2024/request-comments-bolstering-data-center-growth-resilience-and-security</t>
  </si>
  <si>
    <t xml:space="preserve">AI requires massive data processing power, necessitating advanced data centers, the demand for which is expected to grow rapidly over the next few years.</t>
  </si>
  <si>
    <t xml:space="preserve">Those data centers, in turn, require connectivity to the world through enormous fiber "pipes" with "400G to 800G connectivity" – "2 to 4 times more fiber cabling than traditional hyperscale centers" – today and</t>
  </si>
  <si>
    <t xml:space="preserve">FBA is a not for profit trade association with more than 600 members, including telecommunications, computing, networking, system integration, engineering, and content-provider companies, as well as traditional service providers, utilities, and municipalities.</t>
  </si>
  <si>
    <t xml:space="preserve">…telligence ("AI") Action Plan.&lt;sup&gt;2&lt;/sup&gt; FBA agrees that "with the right government policies, the United States can solidify its position as the leader in AI and secure a brighter future for all Americans."&lt;sup&gt;3&lt;/sup&gt; A key component of "sustain[ing] and enhanc[ing] America's AI dominance" will be ensuring that we have adequate infrastructure in place to support AI development and deployment.
«AI requires massive data processing power, necessitating advanced data centers, the demand for which is expected to grow rapidly over the next few years.&lt;sup&gt;4&lt;/sup&gt; ⟦Those data centers, in turn, require connectivity to the world through enormous fiber "pipes" with "400G to 800G connectivity" – "2 to 4 times more fiber cabling than traditional hyperscale centers" – today and⟧»
FBA is a not for profit trade association with more than 600 members, including telecommunications, computing, networking, system integration, engineering, and content-provider companies, as well as traditional service providers, utilities, and municipalities. Its mission is to accelerate deployment of all-fiber access networks to enable every community to leverage economic and societal benefits that only fiber can deliver. A complete list of FBA members can be found on the organization's website: https://www.fiberbroadband.org/.
National Science Foundation, *Request for Information on the Development of an Artificial Intelligence (AI) Action Plan*, 9…</t>
  </si>
  <si>
    <t xml:space="preserve">82c61640-718f-5839-9b41-f00df9423e33</t>
  </si>
  <si>
    <t xml:space="preserve">FBA-AI-RFI-2025</t>
  </si>
  <si>
    <t xml:space="preserve">NSF/2025-02305/comments/comment_attachments/FBA-AI-RFI-2025_1.md</t>
  </si>
  <si>
    <t xml:space="preserve">For example, the FBI's press release concerning The 2020 Internet Crime Report states that it "includes information from 791,790 complaints of suspected internet crime-an increase of more than 300,000 complaints from 2019-and reported losses exceeding $4.2 billion." [20] More recently, the APWG notes in its Phishing Activity Trends Report for Q-2 2021 (published in September) that "The average wire transfer request in Business Email Compromise attacks increased to $106,000 up from $48,000 over the last year."[21] And an article published earlier this year in Security magazine noted that "[c]ybercrime is a $6 trillion annual industry, which would qualify it as the world's third-largest economy after the U.S. and China."[22]</t>
  </si>
  <si>
    <t xml:space="preserve">[footnote] &lt;https://apwg.org/trendsreports/&gt;
[link] https://apwg.org/trendsreports/</t>
  </si>
  <si>
    <t xml:space="preserve">" More recently, the APWG notes in its Phishing Activity Trends Report for Q-2 2021 (published in September) that "The average wire transfer request in Business Email Compromise attacks increased to \$106,000 up from \$48,000 over the last year.</t>
  </si>
  <si>
    <t xml:space="preserve">" And an article published earlier this year in Security magazine noted that "[c]ybercrime is a \$6 trillion annual industry, which would qualify it as the world's third-largest economy after the U.S. and China."</t>
  </si>
  <si>
    <t xml:space="preserve">Given that the vast majority of the global domain name system is administered by U.S. companies, the United States needs to impose regulations on these companies to assist in protecting public safety and welfare and getting a better grip on the dramatically increasing problem of cyberattacks of all kinds.</t>
  </si>
  <si>
    <t xml:space="preserve">…in the United States.
The United States government simply cannot rely on ICANN to solve either the verification of WHOIS data issue or the current lack of access to WHOIS data to combat cybersecurity threats of all kinds. Since May 2018 when ICANN enacted its policies that caused the WHOIS system to essentially "go dark," cyberattacks have only increased, both in volume and the damage inflicted. «For example, the FBI's press release concerning The 2020 Internet Crime Report states that it *"includes information from 791,790 complaints of suspected internet crime—an increase of more than 300,000 complaints from 2019—and reported losses exceeding \$4.2 billion."* [20](#page-5-0) More recently, the APWG notes in its Phishing Activity Trends Report for Q-2 2021 (published in September) that *"The average wire transfer request in Business Email Compromise attacks increased to \$106,000 up from \$48,000 over the last year.⟦"[21](#page-5-1)* And an article published earlier this year in Security magazine noted that *"[c]ybercrime is a \$6 trillion annual industry, which would qualify it as the world's third-largest economy after the U.S. and China."*⟧»[22](#page-5-2)
Given that the vast majority of the global domain name system is administered by U.S. companies, the United States needs to impose regulations on these companies to assist in protecting public safety and welfare and getting a better grip on the dramatically increasing problem of cyberattacks of all kinds. Two key specific regulatory actions that the government should undertake as part of this rulemaking, are:
First, require all U.S. domain name service providers to verify and maintain the identity and contact information of all of their customers. This will assist in the fight against cybercrime and cyberattacks that flow not only from foreign actors, but from domestic actors as well (and foreign…</t>
  </si>
  <si>
    <t xml:space="preserve">cac25205-32ec-57e8-837b-54940fbc46e4</t>
  </si>
  <si>
    <t xml:space="preserve">DOC-2021-0007-0014</t>
  </si>
  <si>
    <t xml:space="preserve">DOC/2021-20430/comments/comment_attachments/DOC-2021-0007-0014_1.md</t>
  </si>
  <si>
    <t xml:space="preserve">Through its GovStart accelerator program, PUBLIC helps start-ups scale their work in all areas of the public sector by equipping them with the knowledge and network needed to succeed. One of the members of the current cohort of start-ups, Gradient0, implements DQ0, a software platform for privacy-preserving analytics and machine learning, at the University Hospital Basel, to enable internal and external researchers conduct medical studies without compromising data protection and data ownership.</t>
  </si>
  <si>
    <t xml:space="preserve">[link] https://www.public.io/Gradient0</t>
  </si>
  <si>
    <t xml:space="preserve">Through its GovStart accelerator program, PUBLIC helps start-ups scale their work in all areas of the public sector by equipping them with the knowledge and network needed to succeed.</t>
  </si>
  <si>
    <t xml:space="preserve">One of the members of the current cohort of start-ups, Gradient0, implements DQ0, a software platform for privacy-preserving analytics and machine learning, at the University Hospital Basel, to enable internal and external researchers conduct medical studies without compromising data protection and data ownership.</t>
  </si>
  <si>
    <t xml:space="preserve">The clinical data is both highly sensitive and very valuable, which is why the clinical partner attaches great importance to data sovereignty.</t>
  </si>
  <si>
    <t xml:space="preserve">…t for therapeutics, devices and health service delivery
- Population health management, particularly by enabling greater collaboration between insurers, health services and clinicians
• Coordinating care effectively between social workers, carers and health services, particularly towards the end of life, while complying with HIPAA laws
#### Case study
### Gradient0 - University Hospital Basel
«Through its GovStart accelerator program, PUBLIC helps start-ups scale their work in all areas of the public sector by equipping them with the knowledge and network needed to succeed. ⟦One of the members of the current cohort of start-ups, &lt;u&gt;Gradient0&lt;/u&gt;, implements DQ0, a software platform for privacy-preserving analytics and machine learning, at the University Hospital Basel, to enable internal and external researchers conduct medical studies without compromising data protection and data ownership.⟧» The clinical data is both highly sensitive and very valuable, which is why the clinical partner attaches great importance to data sovereignty. DQ0 provides a zero-trust solution where the clinic retains full control over the data at all times.
With complete audit trails, enhanced built-in policy mechanisms and specifically implemented PETs like Differential Privacy, the Basel clinic can work on their study with internal and external partners safely and securely.
## **National Statistics and Open Data**
Building on the foundations of …</t>
  </si>
  <si>
    <t xml:space="preserve">ef505cb1-df21-5159-91e4-3f33b3f932fd</t>
  </si>
  <si>
    <t xml:space="preserve">PUBLIC-Group-International-PET-RFI-Response-2022</t>
  </si>
  <si>
    <t xml:space="preserve">OSTP/2022-12432/comments/comment_attachments/PUBLIC-Group-International-PET-RFI-Response-2022_1.md</t>
  </si>
  <si>
    <t xml:space="preserve">Regulation and governance are necessary to support peoples rights in fighting AI bias and to reduce bias. This is especially important because of the multitude of ways in which AI can determine how disability governance is enacted, as discussed in past work [Kane 2020, Whittaker 2019].</t>
  </si>
  <si>
    <t xml:space="preserve">[reference] Whittaker, M. et al. (2019) Disability, bias, and AI. AI Now Institute 8.</t>
  </si>
  <si>
    <t xml:space="preserve">Regulation and governance are necessary to support peoples rights in fighting AI bias and to reduce bias.</t>
  </si>
  <si>
    <t xml:space="preserve">This is especially important because of the multitude of ways in which AI can determine how disability governance is enacted, as discussed in past work [Kane 2020, Whittaker 2019].</t>
  </si>
  <si>
    <t xml:space="preserve">For example, AI may only recognize some bodies as human [Guo, 2020; Kane 2020], or as disabled [Whittaker, 2019].</t>
  </si>
  <si>
    <t xml:space="preserve">…ments about people with disabilities), and algorithmic biases (such as privileging common cases over outliers). Thus addressing them will require a multifaceted approach that addresses biases in the fundamental principles and mechanisms on which GAI is based (as discussed in Section 1, open source development) as well as regulation and governance (discussed next).
# 5. Regulation and Governance
«Regulation and governance are necessary to support peoples rights in fighting AI bias and to reduce bias. ⟦This is especially important because of the multitude of ways in which AI can determine how disability governance is enacted, as discussed in past work [Kane 2020, Whittaker 2019].⟧» For example, AI may only recognize some bodies as human [Guo, 2020; Kane 2020], or as disabled [Whittaker, 2019]. However, the Americans with Disabilities Act does not require a diagnosis for someone to count as disabled, instead according that label even to people who are simply treated as disabled, or have a history that would be recognized as disabled without their assistive technology (42 U.S.C. § 12101 (a)(1)). How can AI technologies detect these nuances? The risk of misidentification includes serious …</t>
  </si>
  <si>
    <t xml:space="preserve">0653e745-b07f-5574-97e8-41013da2d188</t>
  </si>
  <si>
    <t xml:space="preserve">AI-RFI-2025-1500</t>
  </si>
  <si>
    <t xml:space="preserve">NSF/2025-02305/comments/comment_attachments/AI-RFI-2025-1500_1.md</t>
  </si>
  <si>
    <t xml:space="preserve">Foundational research and innovation is confined to corporate labs, not shared. And terms like 'community' and 'openness' are too often projected to evoke a sense of transparency and accountability, but not truly lived. This is in stark contrast to the time before the rush to commercialize AI disincentivized many tech companies from sharing progress in AI more widely, for example when Google [open-sourced](https://blog.research.google/2017/08/transformer-novel-neural-network.html) the transformer architecture - the architecture underpinning today's large language models - in 2017 as well as early large language models like [BERT](https://blog.research.google/2018/11/open-sourcing-bert-state-of-art-pre.html), laying the foundation for the current boom in generative AI.</t>
  </si>
  <si>
    <t xml:space="preserve">[link] https://blog.research.google/2018/11/open-sourcing-bert-state-of-art-pre.html</t>
  </si>
  <si>
    <t xml:space="preserve">And terms like 'community' and 'openness' are too often projected to evoke a sense of transparency and accountability, but not truly lived.</t>
  </si>
  <si>
    <t xml:space="preserve">This is in stark contrast to the time before the rush to commercialize AI disincentivized many tech companies from sharing progress in AI more widely, for example when Google open-sourced the transformer architecture — the architecture underpinning today's large language models — in 2017 as well as early large language models like BERT, laying the foundation for the current boom in generative AI.</t>
  </si>
  <si>
    <t xml:space="preserve">This has broad implications for the AI ecosystem as a whole: the AI market is consolidating before it has even fully taken shape, with companies again converging on corrosive business models that center a "move fast and break things" ethos over building trust and ensuring that the technology works for everyone.</t>
  </si>
  <si>
    <t xml:space="preserve">…ed gardens claim to support "openness." And tools for online accountability have failed to scale with the incredible diversity of online life. The result is an internet that we know can be better."*
These dynamics are already visible in today's AI ecosystem. Advanced AI models and other critical components, such as training datasets, are closed off and turned into platforms, not widely released. «Foundational research and innovation is confined to corporate labs, not shared. And terms like 'community' and 'openness' are too often projected to evoke a sense of transparency and accountability, but not truly lived. ⟦This is in stark contrast to the time before the rush to commercialize AI disincentivized many tech companies from sharing progress in AI more widely, for example when Google [open-sourced](https://blog.research.google/2017/08/transformer-novel-neural-network.html) the transformer architecture — the architecture underpinning today's large language models — in 2017 as well as early large language models like BERT, laying the foundation for the current boom in generative AI.⟧»
This has broad implications for the AI ecosystem as a whole: the AI market is consolidating before it has even fully taken shape, with companies again converging on corrosive business models that center a "move fast and break things" ethos over building trust and ensuring that the technology works for everyone. With the prospect of control over AI being concentrated in the hands of a few companies — many of whom already control most other corners of the internet — ensuring true accountability is likely to become yet another uphill battle.
That is why we need to be wary of self-serving narratives propagated by those dominating the industry. Instead, we need to ask ourselves how openness in AI can be pre…</t>
  </si>
  <si>
    <t xml:space="preserve">df20b088-87cc-5670-ac10-5304cd87876f</t>
  </si>
  <si>
    <t xml:space="preserve">As Thaler held, "only a natural person can be an inventor, so AI cannot be," but the court did "not confront the question of whether inventions made by human beings with the assistance of AI are eligible for patent protection." Thaler v. Vidal, 43 F.4th 1207, 1213 (Fed. Cir. 2022).</t>
  </si>
  <si>
    <t xml:space="preserve">As Thaler held, "only a natural person can be an inventor, so AI cannot be," but the court did "not confront the question of whether inventions made by human beings with the assistance of AI are eligible for patent protection."</t>
  </si>
  <si>
    <t xml:space="preserve">Thaler v. Vidal, 43 F.4th 1207, 1213 (Fed. Cir. 2022).</t>
  </si>
  <si>
    <t xml:space="preserve">In the Executive Order issued in October 2023, under section 5.2(c), it states, "[t]o promote innovation and clarify issues related to AI and inventorship of patentable subject matter, [the USPTO shall] publish guidance to USPTO patent examiners and applicants."</t>
  </si>
  <si>
    <t xml:space="preserve">## **Introduction**
The USPTO should revise its guidance and treat AI as an ordinary research tool. «As *Thaler* held, "only a natural person can be an inventor, so AI cannot be," but the court did "not confront the question of whether inventions made by human beings with the assistance of AI are eligible for patent protection." ⟦*Thaler v. Vidal*, 43 F.4th 1207, 1213 (Fed. Cir. 2022).⟧» In the Executive Order issued in October 2023, under section 5.2(c), it states, "[t]o promote innovation and clarify issues related to AI and inventorship of patentable subject matter, [the USPTO shall] publish guidance to USPTO patent examiners and applicants." Safe, Secure, and Trustworthy Development and Use of Artificial Intelligence, 88 Fed. Reg. 75,191 (Oct. 30, 2023). In response, the USPTO clarified that for all AI-assisted inventions claimed by an inventor, the *Pannu* factors apply, and the USPTO issued guiding principles based on those factors to determine if the human inventor satisfies the statutory inventorship requirement. Inventorship Gui…</t>
  </si>
  <si>
    <t xml:space="preserve">f1e35fdd-3962-5329-89b3-8b71602869b3</t>
  </si>
  <si>
    <t xml:space="preserve">PTO-P-2023-0043-0020</t>
  </si>
  <si>
    <t xml:space="preserve">PTO/2024-02623/comments/comment_attachments/PTO-P-2023-0043-0020_1.md</t>
  </si>
  <si>
    <t xml:space="preserve">We believe that the best response to AI that is biased, discriminatory, or at all inappropriately reduces access to public benefits like Medicaid is to not use it.10 As discussed earlier, public benefits are only provided to those in our country who are most in need of the services provided and are often not in positions where an error or harm has a negligible impact on their lives.11</t>
  </si>
  <si>
    <t xml:space="preserve">[link] https://scholarlycommons.law.emory.edu/cgi/viewcontent.cgi?article=1418&amp;context=elj</t>
  </si>
  <si>
    <t xml:space="preserve">We believe that the best response to AI that is biased, discriminatory, or at all inappropriately reduces access to public benefits like Medicaid is to not use it.</t>
  </si>
  <si>
    <t xml:space="preserve">As discussed earlier, public benefits are only provided to those in our country who are most in need of the services provided and are often not in positions where an error or harm has a negligible impact on their lives.</t>
  </si>
  <si>
    <t xml:space="preserve">We also appreciate the requirement that agencies review each AI in development or use to determine if it is rights- or safety-impacting.</t>
  </si>
  <si>
    <t xml:space="preserve">…ing use, the lower the risk will be of harming underserved individuals.
## **III. Clearer guidelines and authority are needed to adequately manage the risks of rights-impacting AI.**
A critically important part of the Proposed AI Memo is that minimum practices to manage risks from rights- and safety-impacting AI must be implemented by August 1, 2024 or agencies must stop using non-compliant AI. «We believe that the best response to AI that is biased, discriminatory, or at all inappropriately reduces access to public benefits like Medicaid is to not use it.&lt;sup&gt;10&lt;/sup&gt; ⟦As discussed earlier, public benefits are only provided to those in our country who are most in need of the services provided and are often not in positions where an error or harm has a negligible impact on their lives.&lt;sup&gt;11&lt;/sup&gt;⟧»
We also appreciate the requirement that agencies review each AI in development or use to determine if it is rights- or safety-impacting. In many of the areas that are identified as safetyand rights-impacting, the likelihood of bias is high given the pervasiveness of institutional bias in those areas, such as health care, housing, the criminal legal system, child welfare, employment, and policing. As recognized by numerous studies regarding bias in algorithmic decision-making, there are often issues with bias in the underlying data…</t>
  </si>
  <si>
    <t xml:space="preserve">83fd7b8f-ba86-5c72-ad67-207390c572b2</t>
  </si>
  <si>
    <t xml:space="preserve">OMB-2023-0020-0091</t>
  </si>
  <si>
    <t xml:space="preserve">OMB/2023-24269/comments/comment_attachments/OMB-2023-0020-0091_1.md</t>
  </si>
  <si>
    <t xml:space="preserve">Just as a range of field experiments is used to detect bias and discrimination in social settings, there is a range of software auditing techniques that thoughtful and consistent standards can support. The 29 level of visibility into the automated system will often dictate the autiting method.</t>
  </si>
  <si>
    <t xml:space="preserve">[footnote] See Devah Prager, The Use of Field Experiments for Studies of Employment Discrimination: Contributions, Critiques, and Directions for the Future, 609 Annal of the Am. Acad. of Political and Social Science, 104, 108-14 (discussing variations on correspondence tests and in-person audits to investigate employment discrimination).</t>
  </si>
  <si>
    <t xml:space="preserve">Just as a range of field experiments is used to detect bias and discrimination in social settings, there is a range of software auditing techniques that thoughtful and consistent standards can support.</t>
  </si>
  <si>
    <t xml:space="preserve">The 29 level of visibility into the automated system will often dictate the autiting method.</t>
  </si>
  <si>
    <t xml:space="preserve">Some methods are designed to function in the face of extremely limited visibility, and "treat [the system's] decision process as a black box whose inputs and outputs are visible but the inner workings are unseen."</t>
  </si>
  <si>
    <t xml:space="preserve">…86.
![](_page_11_Picture_0.jpeg)
standards. Internal or independent evaluators must be able to examine components of an automated 27 system, such as its training data, source code, and inputs and outputs. Robust auditing is necessary to "foster trust and confidence in AI technologies and protect civil liberties, privacy and American values[,]" a chief objective of the Executive Order on AI. 28
«Just as a range of field experiments is used to detect bias and discrimination in social settings, there is a range of software auditing techniques that thoughtful and consistent standards can support. ⟦The 29 level of visibility into the automated system will often dictate the autiting method.⟧» Some methods are designed to function in the face of extremely limited visibility, and "treat [the system's] decision process as a black box whose inputs and outputs are visible but the inner workings are unseen." The 30 American Civil Liberties Union's (ACLU) recent test of Amazon's facial recognition tool, Rekognition, is one example of this "black box" auditing. There, the ACLU used Rekognition to search a database of 25,000 publicly available arrest photos against photos of every current member of the U.S. House and Senate, resulting in 28 false matches. 31
In addition to scrutinizing inputs and outpu…</t>
  </si>
  <si>
    <t xml:space="preserve">b9819b85-6267-5dca-86c5-1d1c8d38f44d</t>
  </si>
  <si>
    <t xml:space="preserve">OMB-2020-0003-0065</t>
  </si>
  <si>
    <t xml:space="preserve">OMB/2020-00261/comments/comment_attachments/OMB-2020-0003-0065_1.md</t>
  </si>
  <si>
    <t xml:space="preserve">Depending on the distributed data modality, FL can also be categorized as (i) horizontal FL (HFL) [2,3,4,5,6,7] or (ii) vertical FL (VFL) [8,9,10,11,12].</t>
  </si>
  <si>
    <t xml:space="preserve">[reference] [2] Konečný, Jakub, et al. "Federated learning: Strategies for improving communication efficiency." arXiv preprint arXiv:1610.05492 (2016).</t>
  </si>
  <si>
    <t xml:space="preserve">(i) horizontal FL (HFL) or</t>
  </si>
  <si>
    <t xml:space="preserve">(ii) vertical FL (VFL) .</t>
  </si>
  <si>
    <t xml:space="preserve">In the HFL setting, every client shares the same data features but different data samples, which can be considered as a data matrix (i.e., data samples and features are represented by rows and columns, respectively) split horizontally and distributed over multiple clients.</t>
  </si>
  <si>
    <t xml:space="preserve">…n rounds could increase the risk of data leakage because more intermediate results can be utilized for the reverse-engineering process for estimating the locally stored data. Therefore, advanced communication strategy (e.g., asynchronous update, network topology, and compression) needs to be explored.
#### **PPFL on multimodal datasets**
Data modality will also lead to different settings of FL. «Depending on the distributed data modality, FL can also be categorized as (i) horizontal FL (HFL) **[2,3,4,5,6,7]** or ⟦(ii) vertical FL (VFL) **[8,9,10,11,12]**.⟧» In the HFL setting, every client shares the same data features but different data samples, which can be considered as a data matrix (i.e., data samples and features are
represented by rows and columns, respectively) split horizontally and distributed over multiple clients. In the VFL setting, every client shares the same data samples but different data features, which can be considered as the data matrix split vertically and distributed over multiple clients. The key difference between HFL and VFL is that HFL is limited to unimodal data, whereas VFL is applicable to multimodal data. We observe that VFL has been underexplored, whereas HFL has been actively studied i…</t>
  </si>
  <si>
    <t xml:space="preserve">24b2cc40-5087-51b6-9fe8-5450bb9179ff</t>
  </si>
  <si>
    <t xml:space="preserve">Argonne-National-Laboratory-PET-RFI-Response-2022</t>
  </si>
  <si>
    <t xml:space="preserve">OSTP/2022-12432/comments/comment_attachments/Argonne-National-Laboratory-PET-RFI-Response-2022_1.md</t>
  </si>
  <si>
    <t xml:space="preserve">As Jason Matheny, CEO of RAND Corporation and former U.S. intelligence official, observed, even a 1% improvement in forecasting accuracy on major national security decisions could save "tens of billions of dollars" by avoiding costly errors. When decisions like war or large-scale deployments carry trillion-dollar consequences, the United States cannot afford suboptimal judgment. By investing in collective intelligence architectures that sharpen forecasts and illuminate uncertainties, we bolster our national security decision-making and potentially save enormous resources. Crowd forecasting and human-machine analytical teams should thus be viewed as strategic assets. We recommend the AI Action Plan explicitly recognize the role of collective forecasting platforms in intelligence analysis and defense planning, building on earlier successful programs (e.g. IARPA's forecasting experiments) to institutionalize these capabilities. # Alignment with AI Action Plan Priorities: National Security, Defense, and Intelligence Applications Our recommendations strongly align with the priorities outlined for the AI Action Plan, particularly those related to military applications, intelligence analysis, and broad national security needs. The Action Plan's scope includes topics such as "application and use (of AI) in government," "national security and defense," and "explainability and assurance of AI model outputs," among others. Human-centric AI collaboration addresses these areas as follows: - Military Decision-Making and Operations: Incorporating collective intelligence systems can enhance military planning, wargaming, and operational decision-making. AI-enabled collaboration tools allow planners to aggregate input from commanders, intelligence officers, and field operators in real time, yielding a more complete common operating picture. This supports the Department of Defense's push for joint all-domain command and control, where information from across services and domains must be synthesized quickly for commanders. By deploying human-machine collaboration platforms, the military can better evaluate courses of action with input from diverse experts (strategists, logisticians, coalition partners), improving the soundness of decisions under pressure. Such use of AI directly advances the national security and defense mission by making decision processes faster, more informed, and resilient. - Intelligence Analysis and Assessment: As noted, collective reasoning approaches have proven their value in intelligence forecasting. We recommend the Action Plan endorse the adoption of crowd forecasting and analysis platforms within the Intelligence Community (IC). This could mean expanding programs at the Office of the Director of National Intelligence (ODNI) to use crowd-based analytic techniques for estimating geopolitical events, technology developments, and threat levels. These methods will help analysts quantify uncertainty and tap a broader pool of expertise, leading to more robust intelligence assessments. Importantly, the explainable nature of these systems (with - &amp;lt;sup&gt;4 See footnote 2 - recorded rationales and confidence levels) addresses the assurance and transparency priority, ensuring that senior officials can understand why an analytic conclusion was reached. In an era where AI-generated intelligence must be trusted, having a clear line of reasoning (grounded in human judgments augmented by AI) is essential for credibility and accountability.</t>
  </si>
  <si>
    <t xml:space="preserve">[footnote] See footnote 2</t>
  </si>
  <si>
    <t xml:space="preserve">Importantly, the explainable nature of these systems (with recorded rationales and confidence levels) addresses the assurance and transparency priority, ensuring that senior officials can understand why an analytic conclusion was reached.</t>
  </si>
  <si>
    <t xml:space="preserve">In an era where AI-generated intelligence must be trusted, having a clear line of reasoning (grounded in human judgments augmented by AI) is essential for credibility and accountability.</t>
  </si>
  <si>
    <t xml:space="preserve">Broad National Security Collaboration: Many national security challenges require collaboration beyond any single agency, such as pandemic response, supply chain security, or climate-related security risks.</t>
  </si>
  <si>
    <t xml:space="preserve">…we see tremendous opportunity to apply these benefits to defense and intelligence
https://fas.org/publication/collaborative-intelligence-harnessing-crowd-forecasting-for-national-security/. Accessed 4 March 2025.
&lt;sup&gt;3&lt;/sup&gt; https://goodjudgment.io/docs/Goldstein-et-al-2015.pdf
challenges. Notably, improved forecasting and decision clarity directly translate into strategic and economic value. «As Jason Matheny, CEO of RAND Corporation and former U.S. intelligence official, observed, even a 1% improvement in forecasting accuracy on major national security decisions could save "tens of billions of dollars" by avoiding costly errors. When decisions like war or large-scale deployments carry trillion-dollar consequences, the United States cannot afford suboptimal judgment. By investing in collective intelligence architectures that sharpen forecasts and illuminate uncertainties, we bolster our national security decision-making and potentially save enormous resources. Crowd forecasting and human-machine analytical teams should thus be viewed as strategic assets. We recommend the AI Action Plan explicitly recognize the role of collective forecasting platforms in intelligence analysis and defense planning, building on earlier successful programs (e.g. IARPA's forecasting experiments) to institutionalize these capabilities.
# Alignment with AI Action Plan Priorities: National Security, Defense, and Intelligence Applications
Our recommendations strongly align with the priorities outlined for the AI Action Plan, particularly those related to military applications, intelligence analysis, and broad national security needs. The Action Plan's scope includes topics such as "application and use (of AI) in government," "national security and defense," and "explainability and assurance of AI model outputs," among others. Human-centric AI collaboration addresses these areas as follows:
- Military Decision-Making and Operations: Incorporating collective intelligence systems can enhance military planning, wargaming, and operational decision-making. AI-enabled collaboration tools allow planners to aggregate input from commanders, intelligence officers, and field operators in real time, yielding a more complete common operating picture. This supports the Department of Defense's push for joint all-domain command and control, where information from across services and domains must be synthesized quickly for commanders. By deploying human-machine collaboration platforms, the military can better evaluate courses of action with input from diverse experts (strategists, logisticians, coalition partners), improving the soundness of decisions under pressure. Such use of AI directly advances the national security and defense mission by making decision processes faster, more informed, and resilient.
- Intelligence Analysis and Assessment: As noted, collective reasoning approaches have proven their value in intelligence forecasting. We recommend the Action Plan endorse the adoption of crowd forecasting and analysis platforms within the Intelligence Community (IC). This could mean expanding programs at the Office of the Director of National Intelligence (ODNI) to use crowd-based analytic techniques for estimating geopolitical events, technology developments, and threat levels. These methods will help analysts quantify uncertainty and tap a broader pool of expertise, leading to more robust intelligence assessments. Importantly, the explainable nature of these systems (with
-
&lt;sup&gt;&amp;&lt;/sup&gt;lt;sup&gt;4&lt;/sup&gt; See footnote 2
- recorded rationales and confidence levels) addresses the assurance and transparency priority, ensuring that senior officials can understand *why* an analytic conclusion was reached. ⟦In an era where AI-generated intelligence must be trusted, having a clear line of reasoning (grounded in human judgments augmented by AI) is essential for credibility and accountability.⟧»
- **Broad National Security Collaboration:** Many national security challenges require collaboration beyond any single agency, such as pandemic response, supply chain security, or climate-related security risks. AI platforms that enable interagency and cross-sector collaboration can break down silos by allowing participants from defense, intelligence, homeland security, academia, and even industry to collectively brainstorm and evaluate solutions. The AI Action Plan should highlight the need for tools that facilitate such whole-of-government decision-making. By securely connecting subject-matter experts …</t>
  </si>
  <si>
    <t xml:space="preserve">7cd324ce-fba8-5f33-8441-639cc828aff1</t>
  </si>
  <si>
    <t xml:space="preserve">AI-RFI-2025-1604</t>
  </si>
  <si>
    <t xml:space="preserve">NSF/2025-02305/comments/comment_attachments/AI-RFI-2025-1604_1.md</t>
  </si>
  <si>
    <t xml:space="preserve">Unfortunately, replicability is a much more complicated issue, often requiring deep, time-consuming and expensive investigation into potential sources of disagreement when the same method and computational tools are applied to different collections of data. Here, it might be more important for 26 NIST to convene researchers working in AI and ML to understand how standards might help improve replicability or facilitate identifying sources of non-replicability.</t>
  </si>
  <si>
    <t xml:space="preserve">[footnote] See NASEM report, at 71-86.</t>
  </si>
  <si>
    <t xml:space="preserve">Unfortunately, replicability is a much more complicated issue, often requiring deep, time-consuming and expensive investigation into potential sources of disagreement when the same method and computational tools are applied to different collections of data.</t>
  </si>
  <si>
    <t xml:space="preserve">Here, it might be more important for 26 NIST to convene researchers working in AI and ML to understand how standards might help improve replicability or facilitate identifying sources of non-replicability.</t>
  </si>
  <si>
    <t xml:space="preserve">Recommendations: convene stakeholders to work toward standardization of good practices, frameworks, and tools for designing reproducibility and support for replicability into research and development efforts.</t>
  </si>
  <si>
    <t xml:space="preserve">…ommunicated to [other researchers] and be both functional and persistent over time? [and] 3) what are the sources of errors or uncertainty, even given the same data, code, and environment?" While 25 there are good practices, frameworks, and tools for designing reproducibility into research and development efforts, they could use more generic standardization. NIST appears well qualified to do so.
«Unfortunately, replicability is a much more complicated issue, often requiring deep, time-consuming and expensive investigation into potential sources of disagreement when the same method and computational tools are applied to different collections of data. ⟦Here, it might be more important for 26 NIST to convene researchers working in AI and ML to understand how standards might help improve replicability or facilitate identifying sources of non-replicability.⟧»
**Recommendations: convene stakeholders to work toward standardization of good practices, frameworks, and tools for designing reproducibility and support for replicability into research and development efforts.**
# **Auditing: Evaluating Systems Against Legal and Social Norms**
Most AI systems, especially those designed to address complex problems, should be seen as experimental designs that must be closely monitored. While much can be done during the development process to address potential sources of bias, inaccuracy, or ineffectiveness in automated systems, no AI can be assumed to remain free of thes…</t>
  </si>
  <si>
    <t xml:space="preserve">fcc9d52a-6b73-5463-b235-a4aa1519a6b2</t>
  </si>
  <si>
    <t xml:space="preserve">For example, the AI EO encourages agencies to "address[] AI systems' most pressing security risks," promoting activities that "will provide a vital foundation for an approach that addresses AI's risks without unduly reducing its benefits."[25] As NIST explains in its landmark AI RMF: "When applying the AI RMF, risks which the organization determines to be highest for the AI systems within a given context of use call for the most urgent prioritization and most thorough risk management process."[26] This risk-based approach is sound.</t>
  </si>
  <si>
    <t xml:space="preserve">[footnote] Id. at 75191.</t>
  </si>
  <si>
    <t xml:space="preserve">As NIST explains in its landmark AI RMF: "When applying the AI RMF, risks which the organization determines to be highest for the AI systems within a given context of use call for the most urgent prioritization and most thorough risk management process."</t>
  </si>
  <si>
    <t xml:space="preserve">This risk-based approach is sound.</t>
  </si>
  <si>
    <t xml:space="preserve">Focusing on high-risk applications of AI—rather than trying to address AI as a monolithic technology or treating all applications of AI the same—will allow organizations to leverage the benefits from AI without undue barriers, while effectively addressing identified risks.</t>
  </si>
  <si>
    <t xml:space="preserve">… government by ensuring there is a consistently defined scope of governed activities.
# &lt;span id="page-7-0"&gt;&lt;/span&gt;**B. The Final Memo Should Only Apply to High-Risk AI Use Cases and Not Inadvertently Sweep in Lower-Risk Applications.**
There is a significant consensus that a risk-based approach to AI is the most effective way to promote the technology's benefits and manage its potential risks. «For example, the AI EO encourages agencies to "address[] AI systems' most pressing security risks," promoting activities that "will provide a vital foundation for an approach that addresses AI's risks without unduly reducing its benefits."[25](#page-7-1) As NIST explains in its landmark AI RMF: "When applying the AI RMF, risks which the organization determines to be highest for the AI systems within a given context of use call for the most urgent prioritization and most thorough risk management process."[26](#page-7-2) ⟦This risk-based approach is sound.⟧» Focusing on high-risk applications of AI—rather than trying to address AI as a monolithic technology or treating all applications of AI the same—will allow organizations to leverage the benefits from AI without undue barriers, while effectively addressing identified risks.
The Draft Memo appears to attempt to establish a risk-based foundation by only imposing baseline requirements on applications that pose "risks to the rights and safety of the public."[27](#page-7-3) However, this approach is undermined by the Draft Memo's definitions and presumptions, which could be read to sweep in lower-risk AI applications.
real and virtual environments; abstract such percep…</t>
  </si>
  <si>
    <t xml:space="preserve">94a7465c-a1ad-5245-88c1-bb795a5c47ae</t>
  </si>
  <si>
    <t xml:space="preserve">OMB-2023-0020-0113</t>
  </si>
  <si>
    <t xml:space="preserve">OMB/2023-24269/comments/comment_attachments/OMB-2023-0020-0113_1.md</t>
  </si>
  <si>
    <t xml:space="preserve">These studies can be broadly divided into two categories: 1. by developing a data-driven model to predict the intended plasma quantities [17-20] and using these predictions to inform a non-AI-based control algorithm [21, 22], or 2. by training a deep reinforcement learning agent on a computational [23, 24] or data-driven [25, 26] simulator and using the trained agent to directly generate control policies.</t>
  </si>
  <si>
    <t xml:space="preserve">[reference] ] A. Jalalvand, J. Abbate, R. Conlin, G. Verdoolaege, and E. Kolemen, "Real-time and adaptive reservoir computing with application to profile prediction in fusion plasma," IEEE Transactions on Neural Networks and Learning Systems, vol. 33, no. 6, pp. 2630-2641, 2022. doi: 10.1109/TNNLS.2021.3085504</t>
  </si>
  <si>
    <t xml:space="preserve">1. by developing a data-driven model to predict the intended plasma quantities and using these predictions to inform a non-AI-based control algorithm , or</t>
  </si>
  <si>
    <t xml:space="preserve">2. by training a deep reinforcement learning agent on a computational or data-driven simulator and using the trained agent to directly generate control policies.</t>
  </si>
  <si>
    <t xml:space="preserve">Some of these trained models have also been tested in real-time and have achieved latencies on the order of the device's plasma control system cycle time, ranging from milliseconds to as low as 50 µs .</t>
  </si>
  <si>
    <t xml:space="preserve">…s reasonably accurate implementation of control algorithms with latencies commensurate with the plasma dynamics.
Recently, deep learning [16], and other data-driven AI techniques have been applied to a variety of areas in plasma and fusion research. For tokamak control applications, current studies have mainly focused on the prediction and control of disruptive events and equilibrium quantities. «These studies can be broadly divided into two categories: 1. by developing a data-driven model to predict the intended plasma quantities [17–20] and using these predictions to inform a non-AI-based control algorithm [21, 22], or ⟦2. by training a deep reinforcement learning agent on a computational [23, 24] or data-driven [25, 26] simulator and using the trained agent to directly generate control policies.⟧» Some of these trained models have also been tested in real-time and have achieved latencies on the order of the device's plasma control system cycle time, ranging from milliseconds to as low as 50 *µ*s [18,21,23,26,27].
Besides disruption and equilibrium, prediction and control of non-equilibrium quantities such as MHD instabilities [28, 29] and edge localized modes [27, 30] with AI approaches have also been investigated. However, applying these models for real-time control can be more challenging as the model needs to perform inference with latency similar to or smaller than the timescale of the plasma phenome…</t>
  </si>
  <si>
    <t xml:space="preserve">ac9bd68c-baf8-5f55-bad1-26c8396c5f22</t>
  </si>
  <si>
    <t xml:space="preserve">AI-RFI-2025-7001</t>
  </si>
  <si>
    <t xml:space="preserve">NSF/2025-02305/comments/comment_attachments/AI-RFI-2025-7001_1.md</t>
  </si>
  <si>
    <t xml:space="preserve">The special measures and law enforcement actions contemplated in the Proposed Rule, for example, have never previously been pursued at scale. They also historically have been subject to practical limitations based on the ability of malicious actors to evade arrest, including because they reside in nations that refuse to extradite criminal hackers, and because these groups are adept at disbanding and reorganizing in a way that frustrates identification or government action.26</t>
  </si>
  <si>
    <t xml:space="preserve">[footnote] See Proposed Rule at § 7.307.</t>
  </si>
  <si>
    <t xml:space="preserve">The special measures and law enforcement actions contemplated in the Proposed Rule, for example, have never previously been pursued at scale.</t>
  </si>
  <si>
    <t xml:space="preserve">They also historically have been subject to practical limitations based on the ability of malicious actors to evade arrest, including because they reside in nations that refuse to extradite criminal hackers, and because these groups are adept at disbanding and reorganizing in a way that frustrates identification or government action.</t>
  </si>
  <si>
    <t xml:space="preserve">Moreover, while remediation activities are clearly critical, they presume that an attack has succeeded.</t>
  </si>
  <si>
    <t xml:space="preserve">…) notifying entities that potentially have been affected by a cyber incident.&lt;sup&gt;28&lt;/sup&gt;
We welcome the government's commitment to advancing each of these missions. However, BIS and the federal government more broadly would undertake these expanded responsibilities without any new authorities or grant of resources, and while facing significant existing practical barriers and legal limitations. «The special measures and law enforcement actions contemplated in the Proposed Rule, for example, have never previously been pursued at scale. ⟦They also historically have been subject to practical limitations based on the ability of malicious actors to evade arrest, including because they reside in nations that refuse to extradite criminal hackers, and because these groups are adept at disbanding and reorganizing in a way that frustrates identification or government action.⟧» Moreover, while remediation activities are clearly critical, they presume that an attack has succeeded. They do not adequately replace measures that effectively block cyberattacks in the first instance.
*Third*, the Proposed Rule would harm cybersecurity by distracting from efforts better calculated to prevent attacks in the first place. The Proposed Rule would require significant
&lt;sup&gt;27&lt;/sup&gt; *See* 89 Fed. Reg. at 5698 (highlighting interest in increasing "law enforcement's ability to obtain id…</t>
  </si>
  <si>
    <t xml:space="preserve">2045b61e-7e89-5921-8736-b43f269e3c43</t>
  </si>
  <si>
    <t xml:space="preserve">DOC-2021-0007-0513</t>
  </si>
  <si>
    <t xml:space="preserve">DOC/2024-01580/comments/comment_attachments/DOC-2021-0007-0513_1.md</t>
  </si>
  <si>
    <t xml:space="preserve">Our second example is another Wisconsin DNR regulation. This one is from 2021 and is related to stormwater discharge permits (Wisconsin Department of Natural Resources 2021).</t>
  </si>
  <si>
    <t xml:space="preserve">[reference] Wisconsin Department of Natural Resources. 2021. Storm Water Discharge Permits, Fiscal Estimate &amp; Economic Impact Analysis.</t>
  </si>
  <si>
    <t xml:space="preserve">Our second example is another Wisconsin DNR regulation.</t>
  </si>
  <si>
    <t xml:space="preserve">This one is from 2021 and is related to stormwater discharge permits (Wisconsin Department of Natural Resources 2021).</t>
  </si>
  <si>
    <t xml:space="preserve">Like the previous regulation, this rule is also intended to bring the state of Wisconsin's regulatory regime in line with federal regulations.</t>
  </si>
  <si>
    <t xml:space="preserve">…e, this regulation initially produces indirect benefits worth two-fifths of a saved life. This regulation can be expected to save more lives in the future as cost savings compound over time. The first life saved would be expected to occur in 2025 if the 2019 VOID is \$75 million and is growing at 1.25 percent annually.**&lt;sup&gt;8&lt;/sup&gt;** See table 7.2.
### *Example 2: Stormwater Discharge Permits*
«Our second example is another Wisconsin DNR regulation. ⟦This one is from 2021 and is related to stormwater discharge permits (Wisconsin Department of Natural Resources 2021).⟧» Like the previous regulation, this rule is also intended to bring the state of Wisconsin's regulatory regime in line with federal regulations. However, in this case the regulation is anticipated to impose net costs. According to the agency, the regulation will generate total costs of \$2,778,900 per year. Additionally, it will generate savings of \$1,118,400 annually, for a net compliance cost burden of \$1,660,500. As with the previous regulation, the DNR does not claim that this regulation will save any lives. Thus, this regulation ca…</t>
  </si>
  <si>
    <t xml:space="preserve">3b8bed8d-4b31-5de3-8cba-fe0a9b6119e5</t>
  </si>
  <si>
    <t xml:space="preserve">OMB-2023-0020-0062</t>
  </si>
  <si>
    <t xml:space="preserve">OMB/2023-24269/comments/comment_attachments/OMB-2023-0020-0062_1.md</t>
  </si>
  <si>
    <t xml:space="preserve">The IQ4.0 framework, the Operating System for holistic value creation, outlines dimensions for the emerging Industry 4.0 mindset and there are three of the core principles that are particularly crucial, (i) co-creation, (ii) radical customization, and (iii) intuition-leveraged intelligence, that we must focus on as we progress towards Industry 4.0 emergence and maturation [2]</t>
  </si>
  <si>
    <t xml:space="preserve">[reference] Yang, K., Mejabi,B., Rogers, J. Individualized Experiential and Relationship Based Quality: The New Horizon for Data Intensive Quality and Technology, Quality Progress, 2021, Accepted</t>
  </si>
  <si>
    <t xml:space="preserve">(i) co-creation,</t>
  </si>
  <si>
    <t xml:space="preserve">(ii) radical customization, and (iii) intuition-leveraged intelligence, that we must focus on as we progress towards Industry 4.0 emergence and maturation</t>
  </si>
  <si>
    <t xml:space="preserve">…ot. As a mere technology add-on, but as a fundamentally new configuration of industry and business operation. The holistic adoption of this new system within a broad range of industries, as well as diverse areas within the enterprise, will mark the attainment of this goal. The future, without doubt, will be marked by structural and ontological transformations to realize the Industry 4.0 mindset.
«The IQ4.0 framework, the Operating System for holistic value creation, outlines dimensions for the emerging Industry 4.0 mindset and there are three of the core principles that are particularly crucial, (i) co-creation, ⟦(ii) radical customization, and (iii) intuition-leveraged intelligence, that we must focus on as we progress towards Industry 4.0 emergence and maturation⟧» [2]
![](_page_6_Figure_5.jpeg)
![](_page_6_Figure_6.jpeg)
**Figure 6: The IQ4.0 Operating System Framework [2]**
![](_page_7_Picture_1.jpeg)
![](_page_7_Figure_2.jpeg)
**Figure 7: Illustration of Virtual Cloud Business Model (adapted from CosmoPlat).**
![](_page_8_Picture_1.jpeg)
The co-creation mindset applies the Industry 4.0 smart tools and technologies as an enabler for transforming t…</t>
  </si>
  <si>
    <t xml:space="preserve">21e8b6d7-ae3c-532c-807b-824bfb5ed182</t>
  </si>
  <si>
    <t xml:space="preserve">NIST-2021-0007-0012</t>
  </si>
  <si>
    <t xml:space="preserve">NIST/2021-25428/comments/comment_attachments/NIST-2021-0007-0012_1.md</t>
  </si>
  <si>
    <t xml:space="preserve">The Agencies should continue to assess and provide clarity into the types of alternative data suitable across various use cases, building upon the broad definition provided in the RFI. Third, the Agencies should ensure nonbank lenders using alternative data are held to the same rigorous standards applied to banks, by subjecting all lenders using alternative data in credit underwriting to model risk management requirements and by providing consistent examination across lenders to detect misuses of alternative data. These steps would help ensure alternative data and models using alternative data are appropriate, consistent and in the best interest of consumers.36</t>
  </si>
  <si>
    <t xml:space="preserve">[footnote] Interagency Statement on the Use of Alternative Data in Credit Underwriting at 2 (Dec. 3, 2019) ("[T]he agencies are aware that the use of certain alternative data [specifically, cash flow data] may present no greater risks than data traditionally used in the credit evaluation process."), https://files.consumerfinance.gov/f/documents/cfpb_interagency-statement_alternative-data.pdf.
[link] https://files.consumerfinance.gov/f/documents/cfpb_interagency-statement_alternative-data.pdf.</t>
  </si>
  <si>
    <t xml:space="preserve">Third, the Agencies should ensure nonbank lenders using alternative data are held to the same rigorous standards applied to banks, by subjecting all lenders using alternative data in credit underwriting to model risk management requirements and by providing consistent examination across lenders to detect misuses of alternative data.</t>
  </si>
  <si>
    <t xml:space="preserve">These steps would help ensure alternative data and models using alternative data are appropriate, consistent and in the best interest of consumers.</t>
  </si>
  <si>
    <t xml:space="preserve">…at end, BPI provides the following recommendations to encourage the use of alternative data while ensuring consumers receive effective protections on their data. First, the Agencies should consider ways in which banks can explore the use of alternative data without facing fair lending and other consumer compliance regulatory consequences, such as through the use of safe harbors or pilot programs. «Second, the Agencies should continue to assess and provide clarity into the types of alternative data suitable across various use cases, building upon the broad definition provided in the RFI. Third, the Agencies should ensure nonbank lenders using alternative data are held to the same rigorous standards applied to banks, by subjecting all lenders using alternative data in credit underwriting to model risk management requirements and by providing consistent examination across lenders to detect misuses of alternative data. ⟦These steps would help ensure alternative data and models using alternative data are appropriate, consistent and in the best interest of consumers.⟧»
### **C. Overfitting**
*Question 6: How do financial institutions manage AI risks relating to overfitting? What barriers or challenges, if any, does overfitting pose for developing, adopting, and managing AI? How do financial institutions develop their AI so that it will adapt to new and potentially different populations (outside of the test and training data)?*
Overfitting is not unique to AI…</t>
  </si>
  <si>
    <t xml:space="preserve">7d801bc0-24d9-58f3-8607-591cbf223837</t>
  </si>
  <si>
    <t xml:space="preserve">n</t>
  </si>
  <si>
    <t xml:space="preserve">labelled</t>
  </si>
  <si>
    <t xml:space="preserve">scope Y rate</t>
  </si>
  <si>
    <t xml:space="preserve">core Y rate</t>
  </si>
  <si>
    <t xml:space="preserve">complete Y rate</t>
  </si>
  <si>
    <t xml:space="preserve">prev Y rate</t>
  </si>
  <si>
    <t xml:space="preserve">next Y rate</t>
  </si>
  <si>
    <t xml:space="preserve">ALL</t>
  </si>
  <si>
    <t xml:space="preserve">Rates exclude blank and NA labels; Cut / Multi / Junk count as not Y.</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</si>
</sst>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i val="true"/>
      <sz val="9"/>
      <name val="Arial"/>
      <family val="0"/>
      <charset val="1"/>
    </font>
  </fonts>
  <fills count="4">
    <fill>
      <patternFill patternType="none"/>
    </fill>
    <fill>
      <patternFill patternType="gray125"/>
    </fill>
    <fill>
      <patternFill patternType="solid">
        <fgColor rgb="FFD9D9D9"/>
        <bgColor rgb="FFBFBFB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D9D9"/>
          <bgColor rgb="FF000000"/>
        </patternFill>
      </fill>
    </dxf>
    <dxf>
      <fill>
        <patternFill patternType="solid">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6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row>
    <row r="17" customFormat="false" ht="15" hidden="false" customHeight="false" outlineLevel="0" collapsed="false">
      <c r="A17" s="1"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9" ySplit="1" topLeftCell="J2" activePane="bottomRight" state="frozen"/>
      <selection pane="topLeft" activeCell="A1" activeCellId="0" sqref="A1"/>
      <selection pane="topRight" activeCell="J1" activeCellId="0" sqref="J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3" min="2" style="0" width="16"/>
    <col collapsed="false" customWidth="true" hidden="false" outlineLevel="0" max="4" min="4" style="0" width="10"/>
    <col collapsed="false" customWidth="true" hidden="false" outlineLevel="0" max="5" min="5" style="0" width="11"/>
    <col collapsed="false" customWidth="true" hidden="false" outlineLevel="0" max="6" min="6" style="0" width="7"/>
    <col collapsed="false" customWidth="true" hidden="false" outlineLevel="0" max="7" min="7" style="0" width="14"/>
    <col collapsed="false" customWidth="true" hidden="false" outlineLevel="0" max="8" min="8" style="0" width="8"/>
    <col collapsed="false" customWidth="true" hidden="false" outlineLevel="0" max="9" min="9" style="0" width="45"/>
    <col collapsed="false" customWidth="true" hidden="false" outlineLevel="0" max="10" min="10" style="0" width="40"/>
    <col collapsed="false" customWidth="true" hidden="false" outlineLevel="0" max="11" min="11" style="0" width="35"/>
    <col collapsed="false" customWidth="true" hidden="false" outlineLevel="0" max="12" min="12" style="0" width="45"/>
    <col collapsed="false" customWidth="true" hidden="false" outlineLevel="0" max="14" min="13" style="0" width="35"/>
    <col collapsed="false" customWidth="true" hidden="false" outlineLevel="0" max="15" min="15" style="0" width="40"/>
    <col collapsed="false" customWidth="true" hidden="false" outlineLevel="0" max="16" min="16" style="0" width="70"/>
    <col collapsed="false" customWidth="true" hidden="false" outlineLevel="0" max="21" min="17" style="0" width="10"/>
    <col collapsed="false" customWidth="true" hidden="false" outlineLevel="0" max="22" min="22" style="0" width="30"/>
    <col collapsed="false" customWidth="true" hidden="false" outlineLevel="0" max="23" min="23" style="0" width="38"/>
    <col collapsed="false" customWidth="true" hidden="false" outlineLevel="0" max="24" min="24" style="0" width="22"/>
    <col collapsed="false" customWidth="true" hidden="false" outlineLevel="0" max="25" min="25" style="0" width="40"/>
  </cols>
  <sheetData>
    <row r="1" customFormat="false" ht="46.25" hidden="false" customHeight="false" outlineLevel="0" collapsed="false">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c r="Q1" s="4" t="s">
        <v>31</v>
      </c>
      <c r="R1" s="4" t="s">
        <v>32</v>
      </c>
      <c r="S1" s="4" t="s">
        <v>33</v>
      </c>
      <c r="T1" s="4" t="s">
        <v>34</v>
      </c>
      <c r="U1" s="4" t="s">
        <v>35</v>
      </c>
      <c r="V1" s="4" t="s">
        <v>36</v>
      </c>
      <c r="W1" s="3" t="s">
        <v>37</v>
      </c>
      <c r="X1" s="3" t="s">
        <v>38</v>
      </c>
      <c r="Y1" s="3" t="s">
        <v>39</v>
      </c>
    </row>
    <row r="2" customFormat="false" ht="594.75" hidden="false" customHeight="false" outlineLevel="0" collapsed="false">
      <c r="A2" s="5" t="n">
        <v>1</v>
      </c>
      <c r="B2" s="5" t="s">
        <v>40</v>
      </c>
      <c r="C2" s="5" t="s">
        <v>40</v>
      </c>
      <c r="D2" s="5" t="s">
        <v>41</v>
      </c>
      <c r="E2" s="5" t="s">
        <v>42</v>
      </c>
      <c r="F2" s="5" t="n">
        <v>100</v>
      </c>
      <c r="G2" s="5" t="s">
        <v>43</v>
      </c>
      <c r="H2" s="5" t="n">
        <v>18</v>
      </c>
      <c r="I2" s="5" t="s">
        <v>44</v>
      </c>
      <c r="J2" s="5" t="s">
        <v>45</v>
      </c>
      <c r="K2" s="5" t="s">
        <v>46</v>
      </c>
      <c r="L2" s="5" t="s">
        <v>47</v>
      </c>
      <c r="M2" s="5" t="s">
        <v>48</v>
      </c>
      <c r="N2" s="5" t="s">
        <v>47</v>
      </c>
      <c r="O2" s="5"/>
      <c r="P2" s="5" t="s">
        <v>49</v>
      </c>
      <c r="Q2" s="6"/>
      <c r="R2" s="6"/>
      <c r="S2" s="6"/>
      <c r="T2" s="6"/>
      <c r="U2" s="6"/>
      <c r="V2" s="6"/>
      <c r="W2" s="5" t="s">
        <v>50</v>
      </c>
      <c r="X2" s="5" t="s">
        <v>51</v>
      </c>
      <c r="Y2" s="5" t="s">
        <v>52</v>
      </c>
    </row>
    <row r="3" customFormat="false" ht="460.4" hidden="false" customHeight="false" outlineLevel="0" collapsed="false">
      <c r="A3" s="5" t="n">
        <v>2</v>
      </c>
      <c r="B3" s="5" t="s">
        <v>40</v>
      </c>
      <c r="C3" s="5" t="s">
        <v>40</v>
      </c>
      <c r="D3" s="5" t="s">
        <v>41</v>
      </c>
      <c r="E3" s="5" t="s">
        <v>42</v>
      </c>
      <c r="F3" s="5" t="n">
        <v>100</v>
      </c>
      <c r="G3" s="5" t="s">
        <v>43</v>
      </c>
      <c r="H3" s="5" t="n">
        <v>5</v>
      </c>
      <c r="I3" s="5" t="s">
        <v>53</v>
      </c>
      <c r="J3" s="5" t="s">
        <v>54</v>
      </c>
      <c r="K3" s="5" t="s">
        <v>55</v>
      </c>
      <c r="L3" s="5" t="s">
        <v>56</v>
      </c>
      <c r="M3" s="5" t="s">
        <v>57</v>
      </c>
      <c r="N3" s="5" t="s">
        <v>56</v>
      </c>
      <c r="O3" s="5"/>
      <c r="P3" s="5" t="s">
        <v>58</v>
      </c>
      <c r="Q3" s="6"/>
      <c r="R3" s="6"/>
      <c r="S3" s="6"/>
      <c r="T3" s="6"/>
      <c r="U3" s="6"/>
      <c r="V3" s="6"/>
      <c r="W3" s="5" t="s">
        <v>59</v>
      </c>
      <c r="X3" s="5" t="s">
        <v>60</v>
      </c>
      <c r="Y3" s="5" t="s">
        <v>61</v>
      </c>
    </row>
    <row r="4" customFormat="false" ht="572.35" hidden="false" customHeight="false" outlineLevel="0" collapsed="false">
      <c r="A4" s="5" t="n">
        <v>3</v>
      </c>
      <c r="B4" s="5" t="s">
        <v>40</v>
      </c>
      <c r="C4" s="5" t="s">
        <v>40</v>
      </c>
      <c r="D4" s="5" t="s">
        <v>41</v>
      </c>
      <c r="E4" s="5" t="s">
        <v>42</v>
      </c>
      <c r="F4" s="5" t="n">
        <v>100</v>
      </c>
      <c r="G4" s="5" t="s">
        <v>43</v>
      </c>
      <c r="H4" s="5" t="n">
        <v>2</v>
      </c>
      <c r="I4" s="5" t="s">
        <v>62</v>
      </c>
      <c r="J4" s="5" t="s">
        <v>63</v>
      </c>
      <c r="K4" s="5" t="s">
        <v>64</v>
      </c>
      <c r="L4" s="5" t="s">
        <v>65</v>
      </c>
      <c r="M4" s="5" t="s">
        <v>66</v>
      </c>
      <c r="N4" s="5" t="s">
        <v>65</v>
      </c>
      <c r="O4" s="5"/>
      <c r="P4" s="5" t="s">
        <v>67</v>
      </c>
      <c r="Q4" s="6"/>
      <c r="R4" s="6"/>
      <c r="S4" s="6"/>
      <c r="T4" s="6"/>
      <c r="U4" s="6"/>
      <c r="V4" s="6"/>
      <c r="W4" s="5" t="s">
        <v>68</v>
      </c>
      <c r="X4" s="5" t="s">
        <v>60</v>
      </c>
      <c r="Y4" s="5" t="s">
        <v>61</v>
      </c>
    </row>
    <row r="5" customFormat="false" ht="471.6" hidden="false" customHeight="false" outlineLevel="0" collapsed="false">
      <c r="A5" s="5" t="n">
        <v>4</v>
      </c>
      <c r="B5" s="5" t="s">
        <v>40</v>
      </c>
      <c r="C5" s="5" t="s">
        <v>40</v>
      </c>
      <c r="D5" s="5" t="s">
        <v>41</v>
      </c>
      <c r="E5" s="5" t="s">
        <v>42</v>
      </c>
      <c r="F5" s="5" t="n">
        <v>100</v>
      </c>
      <c r="G5" s="5" t="s">
        <v>43</v>
      </c>
      <c r="H5" s="5" t="n">
        <v>45</v>
      </c>
      <c r="I5" s="5" t="s">
        <v>69</v>
      </c>
      <c r="J5" s="5" t="s">
        <v>45</v>
      </c>
      <c r="K5" s="5" t="s">
        <v>70</v>
      </c>
      <c r="L5" s="5" t="s">
        <v>71</v>
      </c>
      <c r="M5" s="5"/>
      <c r="N5" s="5" t="s">
        <v>71</v>
      </c>
      <c r="O5" s="5"/>
      <c r="P5" s="5" t="s">
        <v>72</v>
      </c>
      <c r="Q5" s="6"/>
      <c r="R5" s="6"/>
      <c r="S5" s="6"/>
      <c r="T5" s="6"/>
      <c r="U5" s="6"/>
      <c r="V5" s="6"/>
      <c r="W5" s="5" t="s">
        <v>73</v>
      </c>
      <c r="X5" s="5" t="s">
        <v>74</v>
      </c>
      <c r="Y5" s="5" t="s">
        <v>75</v>
      </c>
    </row>
    <row r="6" customFormat="false" ht="605.95" hidden="false" customHeight="false" outlineLevel="0" collapsed="false">
      <c r="A6" s="5" t="n">
        <v>5</v>
      </c>
      <c r="B6" s="5" t="s">
        <v>40</v>
      </c>
      <c r="C6" s="5" t="s">
        <v>40</v>
      </c>
      <c r="D6" s="5" t="s">
        <v>41</v>
      </c>
      <c r="E6" s="5" t="s">
        <v>42</v>
      </c>
      <c r="F6" s="5" t="n">
        <v>100</v>
      </c>
      <c r="G6" s="5" t="s">
        <v>43</v>
      </c>
      <c r="H6" s="5" t="n">
        <v>1</v>
      </c>
      <c r="I6" s="5" t="s">
        <v>76</v>
      </c>
      <c r="J6" s="5" t="s">
        <v>77</v>
      </c>
      <c r="K6" s="5" t="s">
        <v>78</v>
      </c>
      <c r="L6" s="5" t="s">
        <v>79</v>
      </c>
      <c r="M6" s="5"/>
      <c r="N6" s="5" t="s">
        <v>79</v>
      </c>
      <c r="O6" s="5"/>
      <c r="P6" s="5" t="s">
        <v>80</v>
      </c>
      <c r="Q6" s="6"/>
      <c r="R6" s="6"/>
      <c r="S6" s="6"/>
      <c r="T6" s="6"/>
      <c r="U6" s="6"/>
      <c r="V6" s="6"/>
      <c r="W6" s="5" t="s">
        <v>81</v>
      </c>
      <c r="X6" s="5" t="s">
        <v>82</v>
      </c>
      <c r="Y6" s="5" t="s">
        <v>83</v>
      </c>
    </row>
    <row r="7" customFormat="false" ht="650.7" hidden="false" customHeight="false" outlineLevel="0" collapsed="false">
      <c r="A7" s="5" t="n">
        <v>6</v>
      </c>
      <c r="B7" s="5" t="s">
        <v>40</v>
      </c>
      <c r="C7" s="5" t="s">
        <v>40</v>
      </c>
      <c r="D7" s="5" t="s">
        <v>41</v>
      </c>
      <c r="E7" s="5" t="s">
        <v>42</v>
      </c>
      <c r="F7" s="5" t="n">
        <v>100</v>
      </c>
      <c r="G7" s="5" t="s">
        <v>43</v>
      </c>
      <c r="H7" s="5" t="n">
        <v>10</v>
      </c>
      <c r="I7" s="5" t="s">
        <v>84</v>
      </c>
      <c r="J7" s="5" t="s">
        <v>85</v>
      </c>
      <c r="K7" s="5" t="s">
        <v>86</v>
      </c>
      <c r="L7" s="5" t="s">
        <v>87</v>
      </c>
      <c r="M7" s="5" t="s">
        <v>88</v>
      </c>
      <c r="N7" s="5" t="s">
        <v>87</v>
      </c>
      <c r="O7" s="5"/>
      <c r="P7" s="5" t="s">
        <v>89</v>
      </c>
      <c r="Q7" s="6"/>
      <c r="R7" s="6"/>
      <c r="S7" s="6"/>
      <c r="T7" s="6"/>
      <c r="U7" s="6"/>
      <c r="V7" s="6"/>
      <c r="W7" s="5" t="s">
        <v>90</v>
      </c>
      <c r="X7" s="5" t="s">
        <v>91</v>
      </c>
      <c r="Y7" s="5" t="s">
        <v>92</v>
      </c>
    </row>
    <row r="8" customFormat="false" ht="505.2" hidden="false" customHeight="false" outlineLevel="0" collapsed="false">
      <c r="A8" s="5" t="n">
        <v>7</v>
      </c>
      <c r="B8" s="5" t="s">
        <v>40</v>
      </c>
      <c r="C8" s="5" t="s">
        <v>40</v>
      </c>
      <c r="D8" s="5" t="s">
        <v>41</v>
      </c>
      <c r="E8" s="5" t="s">
        <v>93</v>
      </c>
      <c r="F8" s="5" t="n">
        <v>98.2</v>
      </c>
      <c r="G8" s="5" t="s">
        <v>43</v>
      </c>
      <c r="H8" s="5" t="n">
        <v>56</v>
      </c>
      <c r="I8" s="5" t="s">
        <v>94</v>
      </c>
      <c r="J8" s="5" t="s">
        <v>95</v>
      </c>
      <c r="K8" s="5" t="s">
        <v>96</v>
      </c>
      <c r="L8" s="5" t="s">
        <v>97</v>
      </c>
      <c r="M8" s="5" t="s">
        <v>98</v>
      </c>
      <c r="N8" s="5" t="s">
        <v>97</v>
      </c>
      <c r="O8" s="5"/>
      <c r="P8" s="5" t="s">
        <v>99</v>
      </c>
      <c r="Q8" s="6"/>
      <c r="R8" s="6"/>
      <c r="S8" s="6"/>
      <c r="T8" s="6"/>
      <c r="U8" s="6"/>
      <c r="V8" s="6"/>
      <c r="W8" s="5" t="s">
        <v>100</v>
      </c>
      <c r="X8" s="5" t="s">
        <v>101</v>
      </c>
      <c r="Y8" s="5" t="s">
        <v>102</v>
      </c>
    </row>
    <row r="9" customFormat="false" ht="639.55" hidden="false" customHeight="false" outlineLevel="0" collapsed="false">
      <c r="A9" s="5" t="n">
        <v>8</v>
      </c>
      <c r="B9" s="5" t="s">
        <v>40</v>
      </c>
      <c r="C9" s="5" t="s">
        <v>40</v>
      </c>
      <c r="D9" s="5" t="s">
        <v>41</v>
      </c>
      <c r="E9" s="5" t="s">
        <v>42</v>
      </c>
      <c r="F9" s="5" t="n">
        <v>100</v>
      </c>
      <c r="G9" s="5" t="s">
        <v>43</v>
      </c>
      <c r="H9" s="5" t="n">
        <v>63</v>
      </c>
      <c r="I9" s="5" t="s">
        <v>103</v>
      </c>
      <c r="J9" s="5" t="s">
        <v>104</v>
      </c>
      <c r="K9" s="5" t="s">
        <v>105</v>
      </c>
      <c r="L9" s="5" t="s">
        <v>106</v>
      </c>
      <c r="M9" s="5"/>
      <c r="N9" s="5" t="s">
        <v>106</v>
      </c>
      <c r="O9" s="5"/>
      <c r="P9" s="5" t="s">
        <v>107</v>
      </c>
      <c r="Q9" s="6"/>
      <c r="R9" s="6"/>
      <c r="S9" s="6"/>
      <c r="T9" s="6"/>
      <c r="U9" s="6"/>
      <c r="V9" s="6"/>
      <c r="W9" s="5" t="s">
        <v>108</v>
      </c>
      <c r="X9" s="5" t="s">
        <v>74</v>
      </c>
      <c r="Y9" s="5" t="s">
        <v>75</v>
      </c>
    </row>
    <row r="10" customFormat="false" ht="852.2" hidden="false" customHeight="false" outlineLevel="0" collapsed="false">
      <c r="A10" s="5" t="n">
        <v>9</v>
      </c>
      <c r="B10" s="5" t="s">
        <v>40</v>
      </c>
      <c r="C10" s="5" t="s">
        <v>40</v>
      </c>
      <c r="D10" s="5" t="s">
        <v>41</v>
      </c>
      <c r="E10" s="5" t="s">
        <v>93</v>
      </c>
      <c r="F10" s="5" t="n">
        <v>99.2</v>
      </c>
      <c r="G10" s="5" t="s">
        <v>43</v>
      </c>
      <c r="H10" s="5" t="n">
        <v>8</v>
      </c>
      <c r="I10" s="5" t="s">
        <v>109</v>
      </c>
      <c r="J10" s="5" t="s">
        <v>110</v>
      </c>
      <c r="K10" s="5" t="s">
        <v>111</v>
      </c>
      <c r="L10" s="5" t="s">
        <v>112</v>
      </c>
      <c r="M10" s="5" t="s">
        <v>113</v>
      </c>
      <c r="N10" s="5" t="s">
        <v>112</v>
      </c>
      <c r="O10" s="5"/>
      <c r="P10" s="5" t="s">
        <v>114</v>
      </c>
      <c r="Q10" s="6"/>
      <c r="R10" s="6"/>
      <c r="S10" s="6"/>
      <c r="T10" s="6"/>
      <c r="U10" s="6"/>
      <c r="V10" s="6"/>
      <c r="W10" s="5" t="s">
        <v>115</v>
      </c>
      <c r="X10" s="5" t="s">
        <v>101</v>
      </c>
      <c r="Y10" s="5" t="s">
        <v>102</v>
      </c>
    </row>
    <row r="11" customFormat="false" ht="594.75" hidden="false" customHeight="false" outlineLevel="0" collapsed="false">
      <c r="A11" s="5" t="n">
        <v>10</v>
      </c>
      <c r="B11" s="5" t="s">
        <v>40</v>
      </c>
      <c r="C11" s="5" t="s">
        <v>40</v>
      </c>
      <c r="D11" s="5" t="s">
        <v>41</v>
      </c>
      <c r="E11" s="5" t="s">
        <v>42</v>
      </c>
      <c r="F11" s="5" t="n">
        <v>100</v>
      </c>
      <c r="G11" s="5" t="s">
        <v>43</v>
      </c>
      <c r="H11" s="5" t="n">
        <v>15</v>
      </c>
      <c r="I11" s="5" t="s">
        <v>116</v>
      </c>
      <c r="J11" s="5" t="s">
        <v>117</v>
      </c>
      <c r="K11" s="5" t="s">
        <v>118</v>
      </c>
      <c r="L11" s="5" t="s">
        <v>119</v>
      </c>
      <c r="M11" s="5" t="s">
        <v>120</v>
      </c>
      <c r="N11" s="5" t="s">
        <v>119</v>
      </c>
      <c r="O11" s="5"/>
      <c r="P11" s="5" t="s">
        <v>121</v>
      </c>
      <c r="Q11" s="6"/>
      <c r="R11" s="6"/>
      <c r="S11" s="6"/>
      <c r="T11" s="6"/>
      <c r="U11" s="6"/>
      <c r="V11" s="6"/>
      <c r="W11" s="5" t="s">
        <v>122</v>
      </c>
      <c r="X11" s="5" t="s">
        <v>60</v>
      </c>
      <c r="Y11" s="5" t="s">
        <v>61</v>
      </c>
    </row>
    <row r="12" customFormat="false" ht="326.1" hidden="false" customHeight="false" outlineLevel="0" collapsed="false">
      <c r="A12" s="5" t="n">
        <v>11</v>
      </c>
      <c r="B12" s="5" t="s">
        <v>40</v>
      </c>
      <c r="C12" s="5" t="s">
        <v>40</v>
      </c>
      <c r="D12" s="5" t="s">
        <v>41</v>
      </c>
      <c r="E12" s="5" t="s">
        <v>42</v>
      </c>
      <c r="F12" s="5" t="n">
        <v>100</v>
      </c>
      <c r="G12" s="5" t="s">
        <v>43</v>
      </c>
      <c r="H12" s="5" t="n">
        <v>4</v>
      </c>
      <c r="I12" s="5" t="s">
        <v>123</v>
      </c>
      <c r="J12" s="5" t="s">
        <v>45</v>
      </c>
      <c r="K12" s="5" t="s">
        <v>124</v>
      </c>
      <c r="L12" s="5" t="s">
        <v>125</v>
      </c>
      <c r="M12" s="5" t="s">
        <v>126</v>
      </c>
      <c r="N12" s="5" t="s">
        <v>125</v>
      </c>
      <c r="O12" s="5"/>
      <c r="P12" s="5" t="s">
        <v>127</v>
      </c>
      <c r="Q12" s="6"/>
      <c r="R12" s="6"/>
      <c r="S12" s="6"/>
      <c r="T12" s="6"/>
      <c r="U12" s="6"/>
      <c r="V12" s="6"/>
      <c r="W12" s="5" t="s">
        <v>128</v>
      </c>
      <c r="X12" s="5" t="s">
        <v>129</v>
      </c>
      <c r="Y12" s="5" t="s">
        <v>130</v>
      </c>
    </row>
    <row r="13" customFormat="false" ht="1233.55" hidden="false" customHeight="false" outlineLevel="0" collapsed="false">
      <c r="A13" s="5" t="n">
        <v>12</v>
      </c>
      <c r="B13" s="5" t="s">
        <v>40</v>
      </c>
      <c r="C13" s="5" t="s">
        <v>40</v>
      </c>
      <c r="D13" s="5" t="s">
        <v>41</v>
      </c>
      <c r="E13" s="5" t="s">
        <v>93</v>
      </c>
      <c r="F13" s="5" t="n">
        <v>98.3</v>
      </c>
      <c r="G13" s="5" t="s">
        <v>43</v>
      </c>
      <c r="H13" s="5" t="n">
        <v>10</v>
      </c>
      <c r="I13" s="5" t="s">
        <v>131</v>
      </c>
      <c r="J13" s="5" t="s">
        <v>132</v>
      </c>
      <c r="K13" s="5" t="s">
        <v>133</v>
      </c>
      <c r="L13" s="5" t="s">
        <v>134</v>
      </c>
      <c r="M13" s="5" t="s">
        <v>135</v>
      </c>
      <c r="N13" s="5" t="s">
        <v>134</v>
      </c>
      <c r="O13" s="5"/>
      <c r="P13" s="5" t="s">
        <v>136</v>
      </c>
      <c r="Q13" s="6"/>
      <c r="R13" s="6"/>
      <c r="S13" s="6"/>
      <c r="T13" s="6"/>
      <c r="U13" s="6"/>
      <c r="V13" s="6"/>
      <c r="W13" s="5" t="s">
        <v>137</v>
      </c>
      <c r="X13" s="5" t="s">
        <v>101</v>
      </c>
      <c r="Y13" s="5" t="s">
        <v>102</v>
      </c>
    </row>
    <row r="14" customFormat="false" ht="370.85" hidden="false" customHeight="false" outlineLevel="0" collapsed="false">
      <c r="A14" s="5" t="n">
        <v>13</v>
      </c>
      <c r="B14" s="5" t="s">
        <v>40</v>
      </c>
      <c r="C14" s="5" t="s">
        <v>40</v>
      </c>
      <c r="D14" s="5" t="s">
        <v>41</v>
      </c>
      <c r="E14" s="5" t="s">
        <v>93</v>
      </c>
      <c r="F14" s="5" t="n">
        <v>96.2</v>
      </c>
      <c r="G14" s="5" t="s">
        <v>43</v>
      </c>
      <c r="H14" s="5" t="n">
        <v>21</v>
      </c>
      <c r="I14" s="5" t="s">
        <v>138</v>
      </c>
      <c r="J14" s="5" t="s">
        <v>45</v>
      </c>
      <c r="K14" s="5" t="s">
        <v>139</v>
      </c>
      <c r="L14" s="5" t="s">
        <v>140</v>
      </c>
      <c r="M14" s="5" t="s">
        <v>141</v>
      </c>
      <c r="N14" s="5" t="s">
        <v>140</v>
      </c>
      <c r="O14" s="5"/>
      <c r="P14" s="5" t="s">
        <v>142</v>
      </c>
      <c r="Q14" s="6"/>
      <c r="R14" s="6"/>
      <c r="S14" s="6"/>
      <c r="T14" s="6"/>
      <c r="U14" s="6"/>
      <c r="V14" s="6"/>
      <c r="W14" s="5" t="s">
        <v>143</v>
      </c>
      <c r="X14" s="5" t="s">
        <v>144</v>
      </c>
      <c r="Y14" s="5" t="s">
        <v>145</v>
      </c>
    </row>
    <row r="15" customFormat="false" ht="460.4" hidden="false" customHeight="false" outlineLevel="0" collapsed="false">
      <c r="A15" s="5" t="n">
        <v>14</v>
      </c>
      <c r="B15" s="5" t="s">
        <v>40</v>
      </c>
      <c r="C15" s="5" t="s">
        <v>40</v>
      </c>
      <c r="D15" s="5" t="s">
        <v>41</v>
      </c>
      <c r="E15" s="5" t="s">
        <v>93</v>
      </c>
      <c r="F15" s="5" t="n">
        <v>98.5</v>
      </c>
      <c r="G15" s="5" t="s">
        <v>43</v>
      </c>
      <c r="H15" s="5" t="n">
        <v>38</v>
      </c>
      <c r="I15" s="5" t="s">
        <v>146</v>
      </c>
      <c r="J15" s="5" t="s">
        <v>147</v>
      </c>
      <c r="K15" s="5" t="s">
        <v>148</v>
      </c>
      <c r="L15" s="5" t="s">
        <v>149</v>
      </c>
      <c r="M15" s="5" t="s">
        <v>150</v>
      </c>
      <c r="N15" s="5" t="s">
        <v>149</v>
      </c>
      <c r="O15" s="5"/>
      <c r="P15" s="5" t="s">
        <v>151</v>
      </c>
      <c r="Q15" s="6"/>
      <c r="R15" s="6"/>
      <c r="S15" s="6"/>
      <c r="T15" s="6"/>
      <c r="U15" s="6"/>
      <c r="V15" s="6"/>
      <c r="W15" s="5" t="s">
        <v>152</v>
      </c>
      <c r="X15" s="5" t="s">
        <v>101</v>
      </c>
      <c r="Y15" s="5" t="s">
        <v>102</v>
      </c>
    </row>
    <row r="16" customFormat="false" ht="639.55" hidden="false" customHeight="false" outlineLevel="0" collapsed="false">
      <c r="A16" s="5" t="n">
        <v>15</v>
      </c>
      <c r="B16" s="5" t="s">
        <v>40</v>
      </c>
      <c r="C16" s="5" t="s">
        <v>40</v>
      </c>
      <c r="D16" s="5" t="s">
        <v>41</v>
      </c>
      <c r="E16" s="5" t="s">
        <v>42</v>
      </c>
      <c r="F16" s="5" t="n">
        <v>100</v>
      </c>
      <c r="G16" s="5" t="s">
        <v>43</v>
      </c>
      <c r="H16" s="5" t="n">
        <v>37</v>
      </c>
      <c r="I16" s="5" t="s">
        <v>153</v>
      </c>
      <c r="J16" s="5" t="s">
        <v>45</v>
      </c>
      <c r="K16" s="5" t="s">
        <v>154</v>
      </c>
      <c r="L16" s="5" t="s">
        <v>155</v>
      </c>
      <c r="M16" s="5" t="s">
        <v>156</v>
      </c>
      <c r="N16" s="5" t="s">
        <v>155</v>
      </c>
      <c r="O16" s="5"/>
      <c r="P16" s="5" t="s">
        <v>157</v>
      </c>
      <c r="Q16" s="6"/>
      <c r="R16" s="6"/>
      <c r="S16" s="6"/>
      <c r="T16" s="6"/>
      <c r="U16" s="6"/>
      <c r="V16" s="6"/>
      <c r="W16" s="5" t="s">
        <v>158</v>
      </c>
      <c r="X16" s="5" t="s">
        <v>74</v>
      </c>
      <c r="Y16" s="5" t="s">
        <v>75</v>
      </c>
    </row>
    <row r="17" customFormat="false" ht="438.05" hidden="false" customHeight="false" outlineLevel="0" collapsed="false">
      <c r="A17" s="5" t="n">
        <v>16</v>
      </c>
      <c r="B17" s="5" t="s">
        <v>40</v>
      </c>
      <c r="C17" s="5" t="s">
        <v>40</v>
      </c>
      <c r="D17" s="5" t="s">
        <v>41</v>
      </c>
      <c r="E17" s="5" t="s">
        <v>93</v>
      </c>
      <c r="F17" s="5" t="n">
        <v>99.3</v>
      </c>
      <c r="G17" s="5" t="s">
        <v>43</v>
      </c>
      <c r="H17" s="5" t="n">
        <v>19</v>
      </c>
      <c r="I17" s="5" t="s">
        <v>159</v>
      </c>
      <c r="J17" s="5" t="s">
        <v>160</v>
      </c>
      <c r="K17" s="5" t="s">
        <v>161</v>
      </c>
      <c r="L17" s="5" t="s">
        <v>162</v>
      </c>
      <c r="M17" s="5" t="s">
        <v>163</v>
      </c>
      <c r="N17" s="5" t="s">
        <v>162</v>
      </c>
      <c r="O17" s="5"/>
      <c r="P17" s="5" t="s">
        <v>164</v>
      </c>
      <c r="Q17" s="6"/>
      <c r="R17" s="6"/>
      <c r="S17" s="6"/>
      <c r="T17" s="6"/>
      <c r="U17" s="6"/>
      <c r="V17" s="6"/>
      <c r="W17" s="5" t="s">
        <v>165</v>
      </c>
      <c r="X17" s="5" t="s">
        <v>101</v>
      </c>
      <c r="Y17" s="5" t="s">
        <v>102</v>
      </c>
    </row>
    <row r="18" customFormat="false" ht="572.35" hidden="false" customHeight="false" outlineLevel="0" collapsed="false">
      <c r="A18" s="5" t="n">
        <v>17</v>
      </c>
      <c r="B18" s="5" t="s">
        <v>40</v>
      </c>
      <c r="C18" s="5" t="s">
        <v>40</v>
      </c>
      <c r="D18" s="5" t="s">
        <v>41</v>
      </c>
      <c r="E18" s="5" t="s">
        <v>42</v>
      </c>
      <c r="F18" s="5" t="n">
        <v>100</v>
      </c>
      <c r="G18" s="5" t="s">
        <v>43</v>
      </c>
      <c r="H18" s="5" t="n">
        <v>1</v>
      </c>
      <c r="I18" s="5" t="s">
        <v>166</v>
      </c>
      <c r="J18" s="5" t="s">
        <v>167</v>
      </c>
      <c r="K18" s="5" t="s">
        <v>168</v>
      </c>
      <c r="L18" s="5" t="s">
        <v>169</v>
      </c>
      <c r="M18" s="5" t="s">
        <v>170</v>
      </c>
      <c r="N18" s="5" t="s">
        <v>169</v>
      </c>
      <c r="O18" s="5"/>
      <c r="P18" s="5" t="s">
        <v>171</v>
      </c>
      <c r="Q18" s="6"/>
      <c r="R18" s="6"/>
      <c r="S18" s="6"/>
      <c r="T18" s="6"/>
      <c r="U18" s="6"/>
      <c r="V18" s="6"/>
      <c r="W18" s="5" t="s">
        <v>172</v>
      </c>
      <c r="X18" s="5" t="s">
        <v>91</v>
      </c>
      <c r="Y18" s="5" t="s">
        <v>92</v>
      </c>
    </row>
    <row r="19" customFormat="false" ht="438.05" hidden="false" customHeight="false" outlineLevel="0" collapsed="false">
      <c r="A19" s="5" t="n">
        <v>18</v>
      </c>
      <c r="B19" s="5" t="s">
        <v>40</v>
      </c>
      <c r="C19" s="5" t="s">
        <v>40</v>
      </c>
      <c r="D19" s="5" t="s">
        <v>41</v>
      </c>
      <c r="E19" s="5" t="s">
        <v>93</v>
      </c>
      <c r="F19" s="5" t="n">
        <v>97.1</v>
      </c>
      <c r="G19" s="5" t="s">
        <v>43</v>
      </c>
      <c r="H19" s="5" t="n">
        <v>40</v>
      </c>
      <c r="I19" s="5" t="s">
        <v>173</v>
      </c>
      <c r="J19" s="5" t="s">
        <v>174</v>
      </c>
      <c r="K19" s="5" t="s">
        <v>175</v>
      </c>
      <c r="L19" s="5" t="s">
        <v>176</v>
      </c>
      <c r="M19" s="5" t="s">
        <v>177</v>
      </c>
      <c r="N19" s="5" t="s">
        <v>176</v>
      </c>
      <c r="O19" s="5"/>
      <c r="P19" s="5" t="s">
        <v>178</v>
      </c>
      <c r="Q19" s="6"/>
      <c r="R19" s="6"/>
      <c r="S19" s="6"/>
      <c r="T19" s="6"/>
      <c r="U19" s="6"/>
      <c r="V19" s="6"/>
      <c r="W19" s="5" t="s">
        <v>179</v>
      </c>
      <c r="X19" s="5" t="s">
        <v>101</v>
      </c>
      <c r="Y19" s="5" t="s">
        <v>102</v>
      </c>
    </row>
    <row r="20" customFormat="false" ht="538.8" hidden="false" customHeight="false" outlineLevel="0" collapsed="false">
      <c r="A20" s="5" t="n">
        <v>19</v>
      </c>
      <c r="B20" s="5" t="s">
        <v>40</v>
      </c>
      <c r="C20" s="5" t="s">
        <v>40</v>
      </c>
      <c r="D20" s="5" t="s">
        <v>41</v>
      </c>
      <c r="E20" s="5" t="s">
        <v>42</v>
      </c>
      <c r="F20" s="5" t="n">
        <v>100</v>
      </c>
      <c r="G20" s="5" t="s">
        <v>43</v>
      </c>
      <c r="H20" s="5" t="n">
        <v>15</v>
      </c>
      <c r="I20" s="5" t="s">
        <v>180</v>
      </c>
      <c r="J20" s="5" t="s">
        <v>181</v>
      </c>
      <c r="K20" s="5" t="s">
        <v>182</v>
      </c>
      <c r="L20" s="5" t="s">
        <v>183</v>
      </c>
      <c r="M20" s="5" t="s">
        <v>184</v>
      </c>
      <c r="N20" s="5" t="s">
        <v>183</v>
      </c>
      <c r="O20" s="5"/>
      <c r="P20" s="5" t="s">
        <v>185</v>
      </c>
      <c r="Q20" s="6"/>
      <c r="R20" s="6"/>
      <c r="S20" s="6"/>
      <c r="T20" s="6"/>
      <c r="U20" s="6"/>
      <c r="V20" s="6"/>
      <c r="W20" s="5" t="s">
        <v>186</v>
      </c>
      <c r="X20" s="5" t="s">
        <v>60</v>
      </c>
      <c r="Y20" s="5" t="s">
        <v>61</v>
      </c>
    </row>
    <row r="21" customFormat="false" ht="460.4" hidden="false" customHeight="false" outlineLevel="0" collapsed="false">
      <c r="A21" s="5" t="n">
        <v>20</v>
      </c>
      <c r="B21" s="5" t="s">
        <v>40</v>
      </c>
      <c r="C21" s="5" t="s">
        <v>40</v>
      </c>
      <c r="D21" s="5" t="s">
        <v>41</v>
      </c>
      <c r="E21" s="5" t="s">
        <v>42</v>
      </c>
      <c r="F21" s="5" t="n">
        <v>100</v>
      </c>
      <c r="G21" s="5" t="s">
        <v>43</v>
      </c>
      <c r="H21" s="5" t="n">
        <v>20</v>
      </c>
      <c r="I21" s="5" t="s">
        <v>187</v>
      </c>
      <c r="J21" s="5" t="s">
        <v>188</v>
      </c>
      <c r="K21" s="5" t="s">
        <v>189</v>
      </c>
      <c r="L21" s="5" t="s">
        <v>190</v>
      </c>
      <c r="M21" s="5" t="s">
        <v>191</v>
      </c>
      <c r="N21" s="5" t="s">
        <v>190</v>
      </c>
      <c r="O21" s="5"/>
      <c r="P21" s="5" t="s">
        <v>192</v>
      </c>
      <c r="Q21" s="6"/>
      <c r="R21" s="6"/>
      <c r="S21" s="6"/>
      <c r="T21" s="6"/>
      <c r="U21" s="6"/>
      <c r="V21" s="6"/>
      <c r="W21" s="5" t="s">
        <v>193</v>
      </c>
      <c r="X21" s="5" t="s">
        <v>194</v>
      </c>
      <c r="Y21" s="5" t="s">
        <v>195</v>
      </c>
    </row>
    <row r="22" customFormat="false" ht="359.7" hidden="false" customHeight="false" outlineLevel="0" collapsed="false">
      <c r="A22" s="5" t="n">
        <v>21</v>
      </c>
      <c r="B22" s="5" t="s">
        <v>40</v>
      </c>
      <c r="C22" s="5" t="s">
        <v>40</v>
      </c>
      <c r="D22" s="5" t="s">
        <v>41</v>
      </c>
      <c r="E22" s="5" t="s">
        <v>42</v>
      </c>
      <c r="F22" s="5" t="n">
        <v>100</v>
      </c>
      <c r="G22" s="5" t="s">
        <v>43</v>
      </c>
      <c r="H22" s="5" t="n">
        <v>8</v>
      </c>
      <c r="I22" s="5" t="s">
        <v>196</v>
      </c>
      <c r="J22" s="5" t="s">
        <v>197</v>
      </c>
      <c r="K22" s="5" t="s">
        <v>198</v>
      </c>
      <c r="L22" s="5" t="s">
        <v>199</v>
      </c>
      <c r="M22" s="5" t="s">
        <v>200</v>
      </c>
      <c r="N22" s="5" t="s">
        <v>199</v>
      </c>
      <c r="O22" s="5"/>
      <c r="P22" s="5" t="s">
        <v>201</v>
      </c>
      <c r="Q22" s="6"/>
      <c r="R22" s="6"/>
      <c r="S22" s="6"/>
      <c r="T22" s="6"/>
      <c r="U22" s="6"/>
      <c r="V22" s="6"/>
      <c r="W22" s="5" t="s">
        <v>202</v>
      </c>
      <c r="X22" s="5" t="s">
        <v>203</v>
      </c>
      <c r="Y22" s="5" t="s">
        <v>204</v>
      </c>
    </row>
    <row r="23" customFormat="false" ht="1076.1" hidden="false" customHeight="false" outlineLevel="0" collapsed="false">
      <c r="A23" s="5" t="n">
        <v>22</v>
      </c>
      <c r="B23" s="5" t="s">
        <v>40</v>
      </c>
      <c r="C23" s="5" t="s">
        <v>40</v>
      </c>
      <c r="D23" s="5" t="s">
        <v>41</v>
      </c>
      <c r="E23" s="5" t="s">
        <v>42</v>
      </c>
      <c r="F23" s="5" t="n">
        <v>100</v>
      </c>
      <c r="G23" s="5" t="s">
        <v>43</v>
      </c>
      <c r="H23" s="5" t="n">
        <v>41</v>
      </c>
      <c r="I23" s="5" t="s">
        <v>205</v>
      </c>
      <c r="J23" s="5" t="s">
        <v>206</v>
      </c>
      <c r="K23" s="5" t="s">
        <v>207</v>
      </c>
      <c r="L23" s="5" t="s">
        <v>208</v>
      </c>
      <c r="M23" s="5" t="s">
        <v>209</v>
      </c>
      <c r="N23" s="5" t="s">
        <v>208</v>
      </c>
      <c r="O23" s="5"/>
      <c r="P23" s="5" t="s">
        <v>210</v>
      </c>
      <c r="Q23" s="6"/>
      <c r="R23" s="6"/>
      <c r="S23" s="6"/>
      <c r="T23" s="6"/>
      <c r="U23" s="6"/>
      <c r="V23" s="6"/>
      <c r="W23" s="5" t="s">
        <v>211</v>
      </c>
      <c r="X23" s="5" t="s">
        <v>212</v>
      </c>
      <c r="Y23" s="5" t="s">
        <v>213</v>
      </c>
    </row>
    <row r="24" customFormat="false" ht="628.35" hidden="false" customHeight="false" outlineLevel="0" collapsed="false">
      <c r="A24" s="5" t="n">
        <v>23</v>
      </c>
      <c r="B24" s="5" t="s">
        <v>40</v>
      </c>
      <c r="C24" s="5" t="s">
        <v>40</v>
      </c>
      <c r="D24" s="5" t="s">
        <v>41</v>
      </c>
      <c r="E24" s="5" t="s">
        <v>42</v>
      </c>
      <c r="F24" s="5" t="n">
        <v>100</v>
      </c>
      <c r="G24" s="5" t="s">
        <v>43</v>
      </c>
      <c r="H24" s="5" t="n">
        <v>16</v>
      </c>
      <c r="I24" s="5" t="s">
        <v>214</v>
      </c>
      <c r="J24" s="5" t="s">
        <v>215</v>
      </c>
      <c r="K24" s="5" t="s">
        <v>216</v>
      </c>
      <c r="L24" s="5" t="s">
        <v>217</v>
      </c>
      <c r="M24" s="5" t="s">
        <v>218</v>
      </c>
      <c r="N24" s="5" t="s">
        <v>217</v>
      </c>
      <c r="O24" s="5"/>
      <c r="P24" s="5" t="s">
        <v>219</v>
      </c>
      <c r="Q24" s="6"/>
      <c r="R24" s="6"/>
      <c r="S24" s="6"/>
      <c r="T24" s="6"/>
      <c r="U24" s="6"/>
      <c r="V24" s="6"/>
      <c r="W24" s="5" t="s">
        <v>220</v>
      </c>
      <c r="X24" s="5" t="s">
        <v>74</v>
      </c>
      <c r="Y24" s="5" t="s">
        <v>75</v>
      </c>
    </row>
    <row r="25" customFormat="false" ht="326.1" hidden="false" customHeight="false" outlineLevel="0" collapsed="false">
      <c r="A25" s="5" t="n">
        <v>24</v>
      </c>
      <c r="B25" s="5" t="s">
        <v>40</v>
      </c>
      <c r="C25" s="5" t="s">
        <v>40</v>
      </c>
      <c r="D25" s="5" t="s">
        <v>41</v>
      </c>
      <c r="E25" s="5" t="s">
        <v>93</v>
      </c>
      <c r="F25" s="5" t="n">
        <v>98.3</v>
      </c>
      <c r="G25" s="5" t="s">
        <v>43</v>
      </c>
      <c r="H25" s="5" t="n">
        <v>2</v>
      </c>
      <c r="I25" s="5" t="s">
        <v>221</v>
      </c>
      <c r="J25" s="5" t="s">
        <v>222</v>
      </c>
      <c r="K25" s="5" t="s">
        <v>223</v>
      </c>
      <c r="L25" s="5" t="s">
        <v>224</v>
      </c>
      <c r="M25" s="5" t="s">
        <v>225</v>
      </c>
      <c r="N25" s="5" t="s">
        <v>224</v>
      </c>
      <c r="O25" s="5"/>
      <c r="P25" s="5" t="s">
        <v>226</v>
      </c>
      <c r="Q25" s="6"/>
      <c r="R25" s="6"/>
      <c r="S25" s="6"/>
      <c r="T25" s="6"/>
      <c r="U25" s="6"/>
      <c r="V25" s="6"/>
      <c r="W25" s="5" t="s">
        <v>227</v>
      </c>
      <c r="X25" s="5" t="s">
        <v>228</v>
      </c>
      <c r="Y25" s="5" t="s">
        <v>229</v>
      </c>
    </row>
    <row r="26" customFormat="false" ht="829.85" hidden="false" customHeight="false" outlineLevel="0" collapsed="false">
      <c r="A26" s="5" t="n">
        <v>25</v>
      </c>
      <c r="B26" s="5" t="s">
        <v>40</v>
      </c>
      <c r="C26" s="5" t="s">
        <v>40</v>
      </c>
      <c r="D26" s="5" t="s">
        <v>41</v>
      </c>
      <c r="E26" s="5" t="s">
        <v>42</v>
      </c>
      <c r="F26" s="5" t="n">
        <v>100</v>
      </c>
      <c r="G26" s="5" t="s">
        <v>43</v>
      </c>
      <c r="H26" s="5" t="n">
        <v>32</v>
      </c>
      <c r="I26" s="5" t="s">
        <v>230</v>
      </c>
      <c r="J26" s="5" t="s">
        <v>231</v>
      </c>
      <c r="K26" s="5" t="s">
        <v>232</v>
      </c>
      <c r="L26" s="5" t="s">
        <v>233</v>
      </c>
      <c r="M26" s="5" t="s">
        <v>234</v>
      </c>
      <c r="N26" s="5" t="s">
        <v>233</v>
      </c>
      <c r="O26" s="5"/>
      <c r="P26" s="5" t="s">
        <v>235</v>
      </c>
      <c r="Q26" s="6"/>
      <c r="R26" s="6"/>
      <c r="S26" s="6"/>
      <c r="T26" s="6"/>
      <c r="U26" s="6"/>
      <c r="V26" s="6"/>
      <c r="W26" s="5" t="s">
        <v>236</v>
      </c>
      <c r="X26" s="5" t="s">
        <v>237</v>
      </c>
      <c r="Y26" s="5" t="s">
        <v>238</v>
      </c>
    </row>
    <row r="27" customFormat="false" ht="438.05" hidden="false" customHeight="false" outlineLevel="0" collapsed="false">
      <c r="A27" s="5" t="n">
        <v>26</v>
      </c>
      <c r="B27" s="5" t="s">
        <v>239</v>
      </c>
      <c r="C27" s="5" t="s">
        <v>239</v>
      </c>
      <c r="D27" s="5" t="s">
        <v>41</v>
      </c>
      <c r="E27" s="5" t="s">
        <v>42</v>
      </c>
      <c r="F27" s="5" t="n">
        <v>100</v>
      </c>
      <c r="G27" s="5" t="s">
        <v>43</v>
      </c>
      <c r="H27" s="5" t="n">
        <v>1</v>
      </c>
      <c r="I27" s="5" t="s">
        <v>240</v>
      </c>
      <c r="J27" s="5" t="s">
        <v>241</v>
      </c>
      <c r="K27" s="5" t="s">
        <v>242</v>
      </c>
      <c r="L27" s="5" t="s">
        <v>243</v>
      </c>
      <c r="M27" s="5" t="s">
        <v>244</v>
      </c>
      <c r="N27" s="5" t="s">
        <v>243</v>
      </c>
      <c r="O27" s="5" t="s">
        <v>245</v>
      </c>
      <c r="P27" s="5" t="s">
        <v>246</v>
      </c>
      <c r="Q27" s="6"/>
      <c r="R27" s="6"/>
      <c r="S27" s="6"/>
      <c r="T27" s="6"/>
      <c r="U27" s="6"/>
      <c r="V27" s="6"/>
      <c r="W27" s="5" t="s">
        <v>247</v>
      </c>
      <c r="X27" s="5" t="s">
        <v>248</v>
      </c>
      <c r="Y27" s="5" t="s">
        <v>249</v>
      </c>
    </row>
    <row r="28" customFormat="false" ht="661.9" hidden="false" customHeight="false" outlineLevel="0" collapsed="false">
      <c r="A28" s="5" t="n">
        <v>27</v>
      </c>
      <c r="B28" s="5" t="s">
        <v>239</v>
      </c>
      <c r="C28" s="5" t="s">
        <v>239</v>
      </c>
      <c r="D28" s="5" t="s">
        <v>41</v>
      </c>
      <c r="E28" s="5" t="s">
        <v>42</v>
      </c>
      <c r="F28" s="5" t="n">
        <v>100</v>
      </c>
      <c r="G28" s="5" t="s">
        <v>43</v>
      </c>
      <c r="H28" s="5" t="n">
        <v>11</v>
      </c>
      <c r="I28" s="5" t="s">
        <v>250</v>
      </c>
      <c r="J28" s="5" t="s">
        <v>251</v>
      </c>
      <c r="K28" s="5" t="s">
        <v>252</v>
      </c>
      <c r="L28" s="5" t="s">
        <v>253</v>
      </c>
      <c r="M28" s="5" t="s">
        <v>254</v>
      </c>
      <c r="N28" s="5" t="s">
        <v>253</v>
      </c>
      <c r="O28" s="5" t="s">
        <v>255</v>
      </c>
      <c r="P28" s="5" t="s">
        <v>256</v>
      </c>
      <c r="Q28" s="6"/>
      <c r="R28" s="6"/>
      <c r="S28" s="6"/>
      <c r="T28" s="6"/>
      <c r="U28" s="6"/>
      <c r="V28" s="6"/>
      <c r="W28" s="5" t="s">
        <v>257</v>
      </c>
      <c r="X28" s="5" t="s">
        <v>258</v>
      </c>
      <c r="Y28" s="5" t="s">
        <v>259</v>
      </c>
    </row>
    <row r="29" customFormat="false" ht="986.55" hidden="false" customHeight="false" outlineLevel="0" collapsed="false">
      <c r="A29" s="5" t="n">
        <v>28</v>
      </c>
      <c r="B29" s="5" t="s">
        <v>239</v>
      </c>
      <c r="C29" s="5" t="s">
        <v>239</v>
      </c>
      <c r="D29" s="5" t="s">
        <v>41</v>
      </c>
      <c r="E29" s="5" t="s">
        <v>93</v>
      </c>
      <c r="F29" s="5" t="n">
        <v>99.4</v>
      </c>
      <c r="G29" s="5" t="s">
        <v>43</v>
      </c>
      <c r="H29" s="5" t="n">
        <v>1</v>
      </c>
      <c r="I29" s="5" t="s">
        <v>260</v>
      </c>
      <c r="J29" s="5" t="s">
        <v>261</v>
      </c>
      <c r="K29" s="5" t="s">
        <v>262</v>
      </c>
      <c r="L29" s="5" t="s">
        <v>263</v>
      </c>
      <c r="M29" s="5" t="s">
        <v>264</v>
      </c>
      <c r="N29" s="5" t="s">
        <v>263</v>
      </c>
      <c r="O29" s="5" t="s">
        <v>265</v>
      </c>
      <c r="P29" s="5" t="s">
        <v>266</v>
      </c>
      <c r="Q29" s="6"/>
      <c r="R29" s="6"/>
      <c r="S29" s="6"/>
      <c r="T29" s="6"/>
      <c r="U29" s="6"/>
      <c r="V29" s="6"/>
      <c r="W29" s="5" t="s">
        <v>267</v>
      </c>
      <c r="X29" s="5" t="s">
        <v>268</v>
      </c>
      <c r="Y29" s="5" t="s">
        <v>269</v>
      </c>
    </row>
    <row r="30" customFormat="false" ht="404.45" hidden="false" customHeight="false" outlineLevel="0" collapsed="false">
      <c r="A30" s="5" t="n">
        <v>29</v>
      </c>
      <c r="B30" s="5" t="s">
        <v>239</v>
      </c>
      <c r="C30" s="5" t="s">
        <v>239</v>
      </c>
      <c r="D30" s="5" t="s">
        <v>41</v>
      </c>
      <c r="E30" s="5" t="s">
        <v>93</v>
      </c>
      <c r="F30" s="5" t="n">
        <v>97.6</v>
      </c>
      <c r="G30" s="5" t="s">
        <v>43</v>
      </c>
      <c r="H30" s="5" t="n">
        <v>5</v>
      </c>
      <c r="I30" s="5" t="s">
        <v>270</v>
      </c>
      <c r="J30" s="5" t="s">
        <v>271</v>
      </c>
      <c r="K30" s="5" t="s">
        <v>272</v>
      </c>
      <c r="L30" s="5" t="s">
        <v>273</v>
      </c>
      <c r="M30" s="5" t="s">
        <v>274</v>
      </c>
      <c r="N30" s="5" t="s">
        <v>273</v>
      </c>
      <c r="O30" s="5" t="s">
        <v>275</v>
      </c>
      <c r="P30" s="5" t="s">
        <v>276</v>
      </c>
      <c r="Q30" s="6"/>
      <c r="R30" s="6"/>
      <c r="S30" s="6"/>
      <c r="T30" s="6"/>
      <c r="U30" s="6"/>
      <c r="V30" s="6"/>
      <c r="W30" s="5" t="s">
        <v>277</v>
      </c>
      <c r="X30" s="5" t="s">
        <v>278</v>
      </c>
      <c r="Y30" s="5" t="s">
        <v>279</v>
      </c>
    </row>
    <row r="31" customFormat="false" ht="997.75" hidden="false" customHeight="false" outlineLevel="0" collapsed="false">
      <c r="A31" s="5" t="n">
        <v>30</v>
      </c>
      <c r="B31" s="5" t="s">
        <v>239</v>
      </c>
      <c r="C31" s="5" t="s">
        <v>239</v>
      </c>
      <c r="D31" s="5" t="s">
        <v>41</v>
      </c>
      <c r="E31" s="5" t="s">
        <v>93</v>
      </c>
      <c r="F31" s="5" t="n">
        <v>98.9</v>
      </c>
      <c r="G31" s="5" t="s">
        <v>43</v>
      </c>
      <c r="H31" s="5" t="n">
        <v>8</v>
      </c>
      <c r="I31" s="5" t="s">
        <v>280</v>
      </c>
      <c r="J31" s="5" t="s">
        <v>281</v>
      </c>
      <c r="K31" s="5" t="s">
        <v>282</v>
      </c>
      <c r="L31" s="5" t="s">
        <v>283</v>
      </c>
      <c r="M31" s="5"/>
      <c r="N31" s="5" t="s">
        <v>284</v>
      </c>
      <c r="O31" s="5" t="s">
        <v>285</v>
      </c>
      <c r="P31" s="5" t="s">
        <v>286</v>
      </c>
      <c r="Q31" s="6"/>
      <c r="R31" s="6"/>
      <c r="S31" s="6"/>
      <c r="T31" s="6"/>
      <c r="U31" s="6"/>
      <c r="V31" s="6"/>
      <c r="W31" s="5" t="s">
        <v>287</v>
      </c>
      <c r="X31" s="5" t="s">
        <v>288</v>
      </c>
      <c r="Y31" s="5" t="s">
        <v>289</v>
      </c>
    </row>
    <row r="32" customFormat="false" ht="326.1" hidden="false" customHeight="false" outlineLevel="0" collapsed="false">
      <c r="A32" s="5" t="n">
        <v>31</v>
      </c>
      <c r="B32" s="5" t="s">
        <v>239</v>
      </c>
      <c r="C32" s="5" t="s">
        <v>239</v>
      </c>
      <c r="D32" s="5" t="s">
        <v>41</v>
      </c>
      <c r="E32" s="5" t="s">
        <v>93</v>
      </c>
      <c r="F32" s="5" t="n">
        <v>98.9</v>
      </c>
      <c r="G32" s="5" t="s">
        <v>43</v>
      </c>
      <c r="H32" s="5" t="n">
        <v>13</v>
      </c>
      <c r="I32" s="5" t="s">
        <v>290</v>
      </c>
      <c r="J32" s="5" t="s">
        <v>291</v>
      </c>
      <c r="K32" s="5" t="s">
        <v>292</v>
      </c>
      <c r="L32" s="5" t="s">
        <v>293</v>
      </c>
      <c r="M32" s="5" t="s">
        <v>294</v>
      </c>
      <c r="N32" s="5" t="s">
        <v>293</v>
      </c>
      <c r="O32" s="5" t="s">
        <v>295</v>
      </c>
      <c r="P32" s="5" t="s">
        <v>296</v>
      </c>
      <c r="Q32" s="6"/>
      <c r="R32" s="6"/>
      <c r="S32" s="6"/>
      <c r="T32" s="6"/>
      <c r="U32" s="6"/>
      <c r="V32" s="6"/>
      <c r="W32" s="5" t="s">
        <v>297</v>
      </c>
      <c r="X32" s="5" t="s">
        <v>298</v>
      </c>
      <c r="Y32" s="5" t="s">
        <v>299</v>
      </c>
    </row>
    <row r="33" customFormat="false" ht="583.55" hidden="false" customHeight="false" outlineLevel="0" collapsed="false">
      <c r="A33" s="5" t="n">
        <v>32</v>
      </c>
      <c r="B33" s="5" t="s">
        <v>239</v>
      </c>
      <c r="C33" s="5" t="s">
        <v>239</v>
      </c>
      <c r="D33" s="5" t="s">
        <v>41</v>
      </c>
      <c r="E33" s="5" t="s">
        <v>93</v>
      </c>
      <c r="F33" s="5" t="n">
        <v>99.7</v>
      </c>
      <c r="G33" s="5" t="s">
        <v>43</v>
      </c>
      <c r="H33" s="5" t="n">
        <v>3</v>
      </c>
      <c r="I33" s="5" t="s">
        <v>300</v>
      </c>
      <c r="J33" s="5" t="s">
        <v>301</v>
      </c>
      <c r="K33" s="5" t="s">
        <v>302</v>
      </c>
      <c r="L33" s="5" t="s">
        <v>303</v>
      </c>
      <c r="M33" s="5" t="s">
        <v>304</v>
      </c>
      <c r="N33" s="5" t="s">
        <v>303</v>
      </c>
      <c r="O33" s="5" t="s">
        <v>305</v>
      </c>
      <c r="P33" s="5" t="s">
        <v>306</v>
      </c>
      <c r="Q33" s="6"/>
      <c r="R33" s="6"/>
      <c r="S33" s="6"/>
      <c r="T33" s="6"/>
      <c r="U33" s="6"/>
      <c r="V33" s="6"/>
      <c r="W33" s="5" t="s">
        <v>307</v>
      </c>
      <c r="X33" s="5" t="s">
        <v>298</v>
      </c>
      <c r="Y33" s="5" t="s">
        <v>299</v>
      </c>
    </row>
    <row r="34" customFormat="false" ht="538.8" hidden="false" customHeight="false" outlineLevel="0" collapsed="false">
      <c r="A34" s="5" t="n">
        <v>33</v>
      </c>
      <c r="B34" s="5" t="s">
        <v>239</v>
      </c>
      <c r="C34" s="5" t="s">
        <v>239</v>
      </c>
      <c r="D34" s="5" t="s">
        <v>41</v>
      </c>
      <c r="E34" s="5" t="s">
        <v>42</v>
      </c>
      <c r="F34" s="5" t="n">
        <v>100</v>
      </c>
      <c r="G34" s="5" t="s">
        <v>43</v>
      </c>
      <c r="H34" s="5" t="n">
        <v>6</v>
      </c>
      <c r="I34" s="5" t="s">
        <v>308</v>
      </c>
      <c r="J34" s="5" t="s">
        <v>309</v>
      </c>
      <c r="K34" s="5" t="s">
        <v>310</v>
      </c>
      <c r="L34" s="5" t="s">
        <v>311</v>
      </c>
      <c r="M34" s="5" t="s">
        <v>312</v>
      </c>
      <c r="N34" s="5" t="s">
        <v>311</v>
      </c>
      <c r="O34" s="5" t="s">
        <v>313</v>
      </c>
      <c r="P34" s="5" t="s">
        <v>314</v>
      </c>
      <c r="Q34" s="6"/>
      <c r="R34" s="6"/>
      <c r="S34" s="6"/>
      <c r="T34" s="6"/>
      <c r="U34" s="6"/>
      <c r="V34" s="6"/>
      <c r="W34" s="5" t="s">
        <v>315</v>
      </c>
      <c r="X34" s="5" t="s">
        <v>316</v>
      </c>
      <c r="Y34" s="5" t="s">
        <v>317</v>
      </c>
    </row>
    <row r="35" customFormat="false" ht="930.55" hidden="false" customHeight="false" outlineLevel="0" collapsed="false">
      <c r="A35" s="5" t="n">
        <v>34</v>
      </c>
      <c r="B35" s="5" t="s">
        <v>239</v>
      </c>
      <c r="C35" s="5" t="s">
        <v>239</v>
      </c>
      <c r="D35" s="5" t="s">
        <v>41</v>
      </c>
      <c r="E35" s="5" t="s">
        <v>42</v>
      </c>
      <c r="F35" s="5" t="n">
        <v>100</v>
      </c>
      <c r="G35" s="5" t="s">
        <v>43</v>
      </c>
      <c r="H35" s="5" t="n">
        <v>6</v>
      </c>
      <c r="I35" s="5" t="s">
        <v>318</v>
      </c>
      <c r="J35" s="5" t="s">
        <v>319</v>
      </c>
      <c r="K35" s="5" t="s">
        <v>320</v>
      </c>
      <c r="L35" s="5" t="s">
        <v>321</v>
      </c>
      <c r="M35" s="5" t="s">
        <v>322</v>
      </c>
      <c r="N35" s="5" t="s">
        <v>321</v>
      </c>
      <c r="O35" s="5" t="s">
        <v>323</v>
      </c>
      <c r="P35" s="5" t="s">
        <v>324</v>
      </c>
      <c r="Q35" s="6"/>
      <c r="R35" s="6"/>
      <c r="S35" s="6"/>
      <c r="T35" s="6"/>
      <c r="U35" s="6"/>
      <c r="V35" s="6"/>
      <c r="W35" s="5" t="s">
        <v>325</v>
      </c>
      <c r="X35" s="5" t="s">
        <v>326</v>
      </c>
      <c r="Y35" s="5" t="s">
        <v>327</v>
      </c>
    </row>
    <row r="36" customFormat="false" ht="482.8" hidden="false" customHeight="false" outlineLevel="0" collapsed="false">
      <c r="A36" s="5" t="n">
        <v>35</v>
      </c>
      <c r="B36" s="5" t="s">
        <v>239</v>
      </c>
      <c r="C36" s="5" t="s">
        <v>239</v>
      </c>
      <c r="D36" s="5" t="s">
        <v>41</v>
      </c>
      <c r="E36" s="5" t="s">
        <v>42</v>
      </c>
      <c r="F36" s="5" t="n">
        <v>100</v>
      </c>
      <c r="G36" s="5" t="s">
        <v>43</v>
      </c>
      <c r="H36" s="5" t="n">
        <v>1</v>
      </c>
      <c r="I36" s="5" t="s">
        <v>328</v>
      </c>
      <c r="J36" s="5" t="s">
        <v>329</v>
      </c>
      <c r="K36" s="5" t="s">
        <v>330</v>
      </c>
      <c r="L36" s="5" t="s">
        <v>331</v>
      </c>
      <c r="M36" s="5" t="s">
        <v>332</v>
      </c>
      <c r="N36" s="5" t="s">
        <v>331</v>
      </c>
      <c r="O36" s="5" t="s">
        <v>333</v>
      </c>
      <c r="P36" s="5" t="s">
        <v>334</v>
      </c>
      <c r="Q36" s="6"/>
      <c r="R36" s="6"/>
      <c r="S36" s="6"/>
      <c r="T36" s="6"/>
      <c r="U36" s="6"/>
      <c r="V36" s="6"/>
      <c r="W36" s="5" t="s">
        <v>335</v>
      </c>
      <c r="X36" s="5" t="s">
        <v>336</v>
      </c>
      <c r="Y36" s="5" t="s">
        <v>337</v>
      </c>
    </row>
    <row r="37" customFormat="false" ht="650.7" hidden="false" customHeight="false" outlineLevel="0" collapsed="false">
      <c r="A37" s="5" t="n">
        <v>36</v>
      </c>
      <c r="B37" s="5" t="s">
        <v>239</v>
      </c>
      <c r="C37" s="5" t="s">
        <v>239</v>
      </c>
      <c r="D37" s="5" t="s">
        <v>41</v>
      </c>
      <c r="E37" s="5" t="s">
        <v>93</v>
      </c>
      <c r="F37" s="5" t="n">
        <v>97</v>
      </c>
      <c r="G37" s="5" t="s">
        <v>43</v>
      </c>
      <c r="H37" s="5" t="n">
        <v>1</v>
      </c>
      <c r="I37" s="5" t="s">
        <v>338</v>
      </c>
      <c r="J37" s="5" t="s">
        <v>339</v>
      </c>
      <c r="K37" s="5" t="s">
        <v>340</v>
      </c>
      <c r="L37" s="5" t="s">
        <v>341</v>
      </c>
      <c r="M37" s="5" t="s">
        <v>342</v>
      </c>
      <c r="N37" s="5" t="s">
        <v>341</v>
      </c>
      <c r="O37" s="5" t="s">
        <v>343</v>
      </c>
      <c r="P37" s="5" t="s">
        <v>344</v>
      </c>
      <c r="Q37" s="6"/>
      <c r="R37" s="6"/>
      <c r="S37" s="6"/>
      <c r="T37" s="6"/>
      <c r="U37" s="6"/>
      <c r="V37" s="6"/>
      <c r="W37" s="5" t="s">
        <v>345</v>
      </c>
      <c r="X37" s="5" t="s">
        <v>346</v>
      </c>
      <c r="Y37" s="5" t="s">
        <v>347</v>
      </c>
    </row>
    <row r="38" customFormat="false" ht="852.2" hidden="false" customHeight="false" outlineLevel="0" collapsed="false">
      <c r="A38" s="5" t="n">
        <v>37</v>
      </c>
      <c r="B38" s="5" t="s">
        <v>239</v>
      </c>
      <c r="C38" s="5" t="s">
        <v>239</v>
      </c>
      <c r="D38" s="5" t="s">
        <v>41</v>
      </c>
      <c r="E38" s="5" t="s">
        <v>42</v>
      </c>
      <c r="F38" s="5" t="n">
        <v>100</v>
      </c>
      <c r="G38" s="5" t="s">
        <v>43</v>
      </c>
      <c r="H38" s="5" t="n">
        <v>16</v>
      </c>
      <c r="I38" s="5" t="s">
        <v>348</v>
      </c>
      <c r="J38" s="5" t="s">
        <v>349</v>
      </c>
      <c r="K38" s="5" t="s">
        <v>350</v>
      </c>
      <c r="L38" s="5" t="s">
        <v>351</v>
      </c>
      <c r="M38" s="5" t="s">
        <v>352</v>
      </c>
      <c r="N38" s="5" t="s">
        <v>351</v>
      </c>
      <c r="O38" s="5" t="s">
        <v>353</v>
      </c>
      <c r="P38" s="5" t="s">
        <v>354</v>
      </c>
      <c r="Q38" s="6"/>
      <c r="R38" s="6"/>
      <c r="S38" s="6"/>
      <c r="T38" s="6"/>
      <c r="U38" s="6"/>
      <c r="V38" s="6"/>
      <c r="W38" s="5" t="s">
        <v>355</v>
      </c>
      <c r="X38" s="5" t="s">
        <v>258</v>
      </c>
      <c r="Y38" s="5" t="s">
        <v>259</v>
      </c>
    </row>
    <row r="39" customFormat="false" ht="796.25" hidden="false" customHeight="false" outlineLevel="0" collapsed="false">
      <c r="A39" s="5" t="n">
        <v>38</v>
      </c>
      <c r="B39" s="5" t="s">
        <v>239</v>
      </c>
      <c r="C39" s="5" t="s">
        <v>239</v>
      </c>
      <c r="D39" s="5" t="s">
        <v>41</v>
      </c>
      <c r="E39" s="5" t="s">
        <v>93</v>
      </c>
      <c r="F39" s="5" t="n">
        <v>97.3</v>
      </c>
      <c r="G39" s="5" t="s">
        <v>43</v>
      </c>
      <c r="H39" s="5" t="n">
        <v>12</v>
      </c>
      <c r="I39" s="5" t="s">
        <v>356</v>
      </c>
      <c r="J39" s="5" t="s">
        <v>357</v>
      </c>
      <c r="K39" s="5"/>
      <c r="L39" s="5" t="s">
        <v>292</v>
      </c>
      <c r="M39" s="5" t="s">
        <v>293</v>
      </c>
      <c r="N39" s="5" t="s">
        <v>292</v>
      </c>
      <c r="O39" s="5" t="s">
        <v>295</v>
      </c>
      <c r="P39" s="5" t="s">
        <v>358</v>
      </c>
      <c r="Q39" s="6"/>
      <c r="R39" s="6"/>
      <c r="S39" s="6"/>
      <c r="T39" s="6"/>
      <c r="U39" s="6"/>
      <c r="V39" s="6"/>
      <c r="W39" s="5" t="s">
        <v>359</v>
      </c>
      <c r="X39" s="5" t="s">
        <v>298</v>
      </c>
      <c r="Y39" s="5" t="s">
        <v>299</v>
      </c>
    </row>
    <row r="40" customFormat="false" ht="852.2" hidden="false" customHeight="false" outlineLevel="0" collapsed="false">
      <c r="A40" s="5" t="n">
        <v>39</v>
      </c>
      <c r="B40" s="5" t="s">
        <v>239</v>
      </c>
      <c r="C40" s="5" t="s">
        <v>239</v>
      </c>
      <c r="D40" s="5" t="s">
        <v>41</v>
      </c>
      <c r="E40" s="5" t="s">
        <v>42</v>
      </c>
      <c r="F40" s="5" t="n">
        <v>100</v>
      </c>
      <c r="G40" s="5" t="s">
        <v>43</v>
      </c>
      <c r="H40" s="5" t="n">
        <v>8</v>
      </c>
      <c r="I40" s="5" t="s">
        <v>360</v>
      </c>
      <c r="J40" s="5" t="s">
        <v>361</v>
      </c>
      <c r="K40" s="5" t="s">
        <v>362</v>
      </c>
      <c r="L40" s="5" t="s">
        <v>363</v>
      </c>
      <c r="M40" s="5" t="s">
        <v>364</v>
      </c>
      <c r="N40" s="5" t="s">
        <v>363</v>
      </c>
      <c r="O40" s="5" t="s">
        <v>365</v>
      </c>
      <c r="P40" s="5" t="s">
        <v>366</v>
      </c>
      <c r="Q40" s="6"/>
      <c r="R40" s="6"/>
      <c r="S40" s="6"/>
      <c r="T40" s="6"/>
      <c r="U40" s="6"/>
      <c r="V40" s="6"/>
      <c r="W40" s="5" t="s">
        <v>367</v>
      </c>
      <c r="X40" s="5" t="s">
        <v>258</v>
      </c>
      <c r="Y40" s="5" t="s">
        <v>259</v>
      </c>
    </row>
    <row r="41" customFormat="false" ht="807.45" hidden="false" customHeight="false" outlineLevel="0" collapsed="false">
      <c r="A41" s="5" t="n">
        <v>40</v>
      </c>
      <c r="B41" s="5" t="s">
        <v>239</v>
      </c>
      <c r="C41" s="5" t="s">
        <v>239</v>
      </c>
      <c r="D41" s="5" t="s">
        <v>41</v>
      </c>
      <c r="E41" s="5" t="s">
        <v>93</v>
      </c>
      <c r="F41" s="5" t="n">
        <v>98.7</v>
      </c>
      <c r="G41" s="5" t="s">
        <v>43</v>
      </c>
      <c r="H41" s="5" t="n">
        <v>2</v>
      </c>
      <c r="I41" s="5" t="s">
        <v>368</v>
      </c>
      <c r="J41" s="5" t="s">
        <v>369</v>
      </c>
      <c r="K41" s="5" t="s">
        <v>370</v>
      </c>
      <c r="L41" s="5" t="s">
        <v>371</v>
      </c>
      <c r="M41" s="5" t="s">
        <v>372</v>
      </c>
      <c r="N41" s="5" t="s">
        <v>371</v>
      </c>
      <c r="O41" s="5" t="s">
        <v>373</v>
      </c>
      <c r="P41" s="5" t="s">
        <v>374</v>
      </c>
      <c r="Q41" s="6"/>
      <c r="R41" s="6"/>
      <c r="S41" s="6"/>
      <c r="T41" s="6"/>
      <c r="U41" s="6"/>
      <c r="V41" s="6"/>
      <c r="W41" s="5" t="s">
        <v>375</v>
      </c>
      <c r="X41" s="5" t="s">
        <v>346</v>
      </c>
      <c r="Y41" s="5" t="s">
        <v>347</v>
      </c>
    </row>
    <row r="42" customFormat="false" ht="225.35" hidden="false" customHeight="false" outlineLevel="0" collapsed="false">
      <c r="A42" s="5" t="n">
        <v>41</v>
      </c>
      <c r="B42" s="5" t="s">
        <v>376</v>
      </c>
      <c r="C42" s="5" t="s">
        <v>376</v>
      </c>
      <c r="D42" s="5" t="s">
        <v>377</v>
      </c>
      <c r="E42" s="5" t="s">
        <v>42</v>
      </c>
      <c r="F42" s="5" t="n">
        <v>100</v>
      </c>
      <c r="G42" s="5" t="s">
        <v>378</v>
      </c>
      <c r="H42" s="5"/>
      <c r="I42" s="5" t="s">
        <v>379</v>
      </c>
      <c r="J42" s="5" t="s">
        <v>380</v>
      </c>
      <c r="K42" s="5" t="s">
        <v>381</v>
      </c>
      <c r="L42" s="5" t="s">
        <v>382</v>
      </c>
      <c r="M42" s="5"/>
      <c r="N42" s="5" t="s">
        <v>382</v>
      </c>
      <c r="O42" s="5"/>
      <c r="P42" s="5" t="s">
        <v>383</v>
      </c>
      <c r="Q42" s="6"/>
      <c r="R42" s="6" t="s">
        <v>384</v>
      </c>
      <c r="S42" s="6" t="s">
        <v>384</v>
      </c>
      <c r="T42" s="6" t="s">
        <v>384</v>
      </c>
      <c r="U42" s="6" t="s">
        <v>384</v>
      </c>
      <c r="V42" s="6"/>
      <c r="W42" s="5" t="s">
        <v>385</v>
      </c>
      <c r="X42" s="5" t="s">
        <v>386</v>
      </c>
      <c r="Y42" s="5" t="s">
        <v>387</v>
      </c>
    </row>
    <row r="43" customFormat="false" ht="147" hidden="false" customHeight="false" outlineLevel="0" collapsed="false">
      <c r="A43" s="5" t="n">
        <v>42</v>
      </c>
      <c r="B43" s="5" t="s">
        <v>376</v>
      </c>
      <c r="C43" s="5" t="s">
        <v>376</v>
      </c>
      <c r="D43" s="5" t="s">
        <v>377</v>
      </c>
      <c r="E43" s="5" t="s">
        <v>42</v>
      </c>
      <c r="F43" s="5" t="n">
        <v>100</v>
      </c>
      <c r="G43" s="5" t="s">
        <v>388</v>
      </c>
      <c r="H43" s="5"/>
      <c r="I43" s="5" t="s">
        <v>389</v>
      </c>
      <c r="J43" s="5" t="s">
        <v>390</v>
      </c>
      <c r="K43" s="5"/>
      <c r="L43" s="5" t="s">
        <v>389</v>
      </c>
      <c r="M43" s="5"/>
      <c r="N43" s="5" t="s">
        <v>389</v>
      </c>
      <c r="O43" s="5"/>
      <c r="P43" s="5" t="s">
        <v>391</v>
      </c>
      <c r="Q43" s="6"/>
      <c r="R43" s="6" t="s">
        <v>384</v>
      </c>
      <c r="S43" s="6" t="s">
        <v>384</v>
      </c>
      <c r="T43" s="6" t="s">
        <v>384</v>
      </c>
      <c r="U43" s="6" t="s">
        <v>384</v>
      </c>
      <c r="V43" s="6"/>
      <c r="W43" s="5" t="s">
        <v>392</v>
      </c>
      <c r="X43" s="5" t="s">
        <v>393</v>
      </c>
      <c r="Y43" s="5" t="s">
        <v>394</v>
      </c>
    </row>
    <row r="44" customFormat="false" ht="202.95" hidden="false" customHeight="false" outlineLevel="0" collapsed="false">
      <c r="A44" s="5" t="n">
        <v>43</v>
      </c>
      <c r="B44" s="5" t="s">
        <v>376</v>
      </c>
      <c r="C44" s="5" t="s">
        <v>376</v>
      </c>
      <c r="D44" s="5" t="s">
        <v>377</v>
      </c>
      <c r="E44" s="5" t="s">
        <v>42</v>
      </c>
      <c r="F44" s="5" t="n">
        <v>100</v>
      </c>
      <c r="G44" s="5" t="s">
        <v>388</v>
      </c>
      <c r="H44" s="5"/>
      <c r="I44" s="5" t="s">
        <v>395</v>
      </c>
      <c r="J44" s="5" t="s">
        <v>396</v>
      </c>
      <c r="K44" s="5"/>
      <c r="L44" s="5" t="s">
        <v>397</v>
      </c>
      <c r="M44" s="5"/>
      <c r="N44" s="5" t="s">
        <v>397</v>
      </c>
      <c r="O44" s="5"/>
      <c r="P44" s="5" t="s">
        <v>398</v>
      </c>
      <c r="Q44" s="6"/>
      <c r="R44" s="6" t="s">
        <v>384</v>
      </c>
      <c r="S44" s="6" t="s">
        <v>384</v>
      </c>
      <c r="T44" s="6" t="s">
        <v>384</v>
      </c>
      <c r="U44" s="6" t="s">
        <v>384</v>
      </c>
      <c r="V44" s="6"/>
      <c r="W44" s="5" t="s">
        <v>399</v>
      </c>
      <c r="X44" s="5" t="s">
        <v>400</v>
      </c>
      <c r="Y44" s="5" t="s">
        <v>401</v>
      </c>
    </row>
    <row r="45" customFormat="false" ht="225.35" hidden="false" customHeight="false" outlineLevel="0" collapsed="false">
      <c r="A45" s="5" t="n">
        <v>44</v>
      </c>
      <c r="B45" s="5" t="s">
        <v>376</v>
      </c>
      <c r="C45" s="5" t="s">
        <v>376</v>
      </c>
      <c r="D45" s="5" t="s">
        <v>377</v>
      </c>
      <c r="E45" s="5" t="s">
        <v>42</v>
      </c>
      <c r="F45" s="5" t="n">
        <v>100</v>
      </c>
      <c r="G45" s="5" t="s">
        <v>402</v>
      </c>
      <c r="H45" s="5"/>
      <c r="I45" s="5" t="s">
        <v>403</v>
      </c>
      <c r="J45" s="5" t="s">
        <v>404</v>
      </c>
      <c r="K45" s="5" t="s">
        <v>405</v>
      </c>
      <c r="L45" s="5" t="s">
        <v>406</v>
      </c>
      <c r="M45" s="5"/>
      <c r="N45" s="5" t="s">
        <v>406</v>
      </c>
      <c r="O45" s="5"/>
      <c r="P45" s="5" t="s">
        <v>407</v>
      </c>
      <c r="Q45" s="6"/>
      <c r="R45" s="6" t="s">
        <v>384</v>
      </c>
      <c r="S45" s="6" t="s">
        <v>384</v>
      </c>
      <c r="T45" s="6" t="s">
        <v>384</v>
      </c>
      <c r="U45" s="6" t="s">
        <v>384</v>
      </c>
      <c r="V45" s="6"/>
      <c r="W45" s="5" t="s">
        <v>408</v>
      </c>
      <c r="X45" s="5" t="s">
        <v>409</v>
      </c>
      <c r="Y45" s="5" t="s">
        <v>410</v>
      </c>
    </row>
    <row r="46" customFormat="false" ht="225.35" hidden="false" customHeight="false" outlineLevel="0" collapsed="false">
      <c r="A46" s="5" t="n">
        <v>45</v>
      </c>
      <c r="B46" s="5" t="s">
        <v>376</v>
      </c>
      <c r="C46" s="5" t="s">
        <v>376</v>
      </c>
      <c r="D46" s="5" t="s">
        <v>377</v>
      </c>
      <c r="E46" s="5" t="s">
        <v>42</v>
      </c>
      <c r="F46" s="5" t="n">
        <v>100</v>
      </c>
      <c r="G46" s="5" t="s">
        <v>402</v>
      </c>
      <c r="H46" s="5"/>
      <c r="I46" s="5" t="s">
        <v>411</v>
      </c>
      <c r="J46" s="5" t="s">
        <v>412</v>
      </c>
      <c r="K46" s="5" t="s">
        <v>413</v>
      </c>
      <c r="L46" s="5" t="s">
        <v>414</v>
      </c>
      <c r="M46" s="5"/>
      <c r="N46" s="5" t="s">
        <v>414</v>
      </c>
      <c r="O46" s="5"/>
      <c r="P46" s="5" t="s">
        <v>415</v>
      </c>
      <c r="Q46" s="6"/>
      <c r="R46" s="6" t="s">
        <v>384</v>
      </c>
      <c r="S46" s="6" t="s">
        <v>384</v>
      </c>
      <c r="T46" s="6" t="s">
        <v>384</v>
      </c>
      <c r="U46" s="6" t="s">
        <v>384</v>
      </c>
      <c r="V46" s="6"/>
      <c r="W46" s="5" t="s">
        <v>416</v>
      </c>
      <c r="X46" s="5" t="s">
        <v>409</v>
      </c>
      <c r="Y46" s="5" t="s">
        <v>410</v>
      </c>
    </row>
    <row r="47" customFormat="false" ht="225.35" hidden="false" customHeight="false" outlineLevel="0" collapsed="false">
      <c r="A47" s="5" t="n">
        <v>46</v>
      </c>
      <c r="B47" s="5" t="s">
        <v>376</v>
      </c>
      <c r="C47" s="5" t="s">
        <v>376</v>
      </c>
      <c r="D47" s="5" t="s">
        <v>377</v>
      </c>
      <c r="E47" s="5" t="s">
        <v>42</v>
      </c>
      <c r="F47" s="5" t="n">
        <v>100</v>
      </c>
      <c r="G47" s="5" t="s">
        <v>388</v>
      </c>
      <c r="H47" s="5"/>
      <c r="I47" s="5" t="s">
        <v>417</v>
      </c>
      <c r="J47" s="5" t="s">
        <v>418</v>
      </c>
      <c r="K47" s="5"/>
      <c r="L47" s="5" t="s">
        <v>419</v>
      </c>
      <c r="M47" s="5"/>
      <c r="N47" s="5" t="s">
        <v>419</v>
      </c>
      <c r="O47" s="5"/>
      <c r="P47" s="5" t="s">
        <v>420</v>
      </c>
      <c r="Q47" s="6"/>
      <c r="R47" s="6" t="s">
        <v>384</v>
      </c>
      <c r="S47" s="6" t="s">
        <v>384</v>
      </c>
      <c r="T47" s="6" t="s">
        <v>384</v>
      </c>
      <c r="U47" s="6" t="s">
        <v>384</v>
      </c>
      <c r="V47" s="6"/>
      <c r="W47" s="5" t="s">
        <v>421</v>
      </c>
      <c r="X47" s="5" t="s">
        <v>400</v>
      </c>
      <c r="Y47" s="5" t="s">
        <v>401</v>
      </c>
    </row>
    <row r="48" customFormat="false" ht="202.95" hidden="false" customHeight="false" outlineLevel="0" collapsed="false">
      <c r="A48" s="5" t="n">
        <v>47</v>
      </c>
      <c r="B48" s="5" t="s">
        <v>376</v>
      </c>
      <c r="C48" s="5" t="s">
        <v>376</v>
      </c>
      <c r="D48" s="5" t="s">
        <v>377</v>
      </c>
      <c r="E48" s="5" t="s">
        <v>42</v>
      </c>
      <c r="F48" s="5" t="n">
        <v>100</v>
      </c>
      <c r="G48" s="5" t="s">
        <v>402</v>
      </c>
      <c r="H48" s="5"/>
      <c r="I48" s="5" t="s">
        <v>422</v>
      </c>
      <c r="J48" s="5" t="s">
        <v>423</v>
      </c>
      <c r="K48" s="5" t="s">
        <v>424</v>
      </c>
      <c r="L48" s="5" t="s">
        <v>425</v>
      </c>
      <c r="M48" s="5"/>
      <c r="N48" s="5" t="s">
        <v>426</v>
      </c>
      <c r="O48" s="5"/>
      <c r="P48" s="5" t="s">
        <v>427</v>
      </c>
      <c r="Q48" s="6"/>
      <c r="R48" s="6" t="s">
        <v>384</v>
      </c>
      <c r="S48" s="6" t="s">
        <v>384</v>
      </c>
      <c r="T48" s="6" t="s">
        <v>384</v>
      </c>
      <c r="U48" s="6" t="s">
        <v>384</v>
      </c>
      <c r="V48" s="6"/>
      <c r="W48" s="5" t="s">
        <v>428</v>
      </c>
      <c r="X48" s="5" t="s">
        <v>429</v>
      </c>
      <c r="Y48" s="5" t="s">
        <v>430</v>
      </c>
    </row>
    <row r="49" customFormat="false" ht="247.75" hidden="false" customHeight="false" outlineLevel="0" collapsed="false">
      <c r="A49" s="5" t="n">
        <v>48</v>
      </c>
      <c r="B49" s="5" t="s">
        <v>376</v>
      </c>
      <c r="C49" s="5" t="s">
        <v>376</v>
      </c>
      <c r="D49" s="5" t="s">
        <v>377</v>
      </c>
      <c r="E49" s="5" t="s">
        <v>42</v>
      </c>
      <c r="F49" s="5" t="n">
        <v>100</v>
      </c>
      <c r="G49" s="5" t="s">
        <v>388</v>
      </c>
      <c r="H49" s="5" t="n">
        <v>10</v>
      </c>
      <c r="I49" s="5" t="s">
        <v>431</v>
      </c>
      <c r="J49" s="5" t="s">
        <v>432</v>
      </c>
      <c r="K49" s="5" t="s">
        <v>433</v>
      </c>
      <c r="L49" s="5" t="s">
        <v>431</v>
      </c>
      <c r="M49" s="5" t="s">
        <v>434</v>
      </c>
      <c r="N49" s="5" t="s">
        <v>431</v>
      </c>
      <c r="O49" s="5"/>
      <c r="P49" s="5" t="s">
        <v>435</v>
      </c>
      <c r="Q49" s="6"/>
      <c r="R49" s="6" t="s">
        <v>384</v>
      </c>
      <c r="S49" s="6" t="s">
        <v>384</v>
      </c>
      <c r="T49" s="6" t="s">
        <v>384</v>
      </c>
      <c r="U49" s="6" t="s">
        <v>384</v>
      </c>
      <c r="V49" s="6"/>
      <c r="W49" s="5" t="s">
        <v>436</v>
      </c>
      <c r="X49" s="5" t="s">
        <v>437</v>
      </c>
      <c r="Y49" s="5" t="s">
        <v>438</v>
      </c>
    </row>
    <row r="50" customFormat="false" ht="191.75" hidden="false" customHeight="false" outlineLevel="0" collapsed="false">
      <c r="A50" s="5" t="n">
        <v>49</v>
      </c>
      <c r="B50" s="5" t="s">
        <v>376</v>
      </c>
      <c r="C50" s="5" t="s">
        <v>376</v>
      </c>
      <c r="D50" s="5" t="s">
        <v>377</v>
      </c>
      <c r="E50" s="5" t="s">
        <v>42</v>
      </c>
      <c r="F50" s="5" t="n">
        <v>100</v>
      </c>
      <c r="G50" s="5" t="s">
        <v>388</v>
      </c>
      <c r="H50" s="5"/>
      <c r="I50" s="5" t="s">
        <v>439</v>
      </c>
      <c r="J50" s="5" t="s">
        <v>440</v>
      </c>
      <c r="K50" s="5"/>
      <c r="L50" s="5" t="s">
        <v>439</v>
      </c>
      <c r="M50" s="5"/>
      <c r="N50" s="5" t="s">
        <v>439</v>
      </c>
      <c r="O50" s="5"/>
      <c r="P50" s="5" t="s">
        <v>441</v>
      </c>
      <c r="Q50" s="6"/>
      <c r="R50" s="6" t="s">
        <v>384</v>
      </c>
      <c r="S50" s="6" t="s">
        <v>384</v>
      </c>
      <c r="T50" s="6" t="s">
        <v>384</v>
      </c>
      <c r="U50" s="6" t="s">
        <v>384</v>
      </c>
      <c r="V50" s="6"/>
      <c r="W50" s="5" t="s">
        <v>442</v>
      </c>
      <c r="X50" s="5" t="s">
        <v>443</v>
      </c>
      <c r="Y50" s="5" t="s">
        <v>444</v>
      </c>
    </row>
    <row r="51" customFormat="false" ht="158.2" hidden="false" customHeight="false" outlineLevel="0" collapsed="false">
      <c r="A51" s="5" t="n">
        <v>50</v>
      </c>
      <c r="B51" s="5" t="s">
        <v>376</v>
      </c>
      <c r="C51" s="5" t="s">
        <v>376</v>
      </c>
      <c r="D51" s="5" t="s">
        <v>377</v>
      </c>
      <c r="E51" s="5" t="s">
        <v>42</v>
      </c>
      <c r="F51" s="5" t="n">
        <v>100</v>
      </c>
      <c r="G51" s="5" t="s">
        <v>402</v>
      </c>
      <c r="H51" s="5" t="n">
        <v>13</v>
      </c>
      <c r="I51" s="5" t="s">
        <v>445</v>
      </c>
      <c r="J51" s="5" t="s">
        <v>446</v>
      </c>
      <c r="K51" s="5" t="s">
        <v>447</v>
      </c>
      <c r="L51" s="5" t="s">
        <v>448</v>
      </c>
      <c r="M51" s="5"/>
      <c r="N51" s="5" t="s">
        <v>448</v>
      </c>
      <c r="O51" s="5"/>
      <c r="P51" s="5" t="s">
        <v>449</v>
      </c>
      <c r="Q51" s="6"/>
      <c r="R51" s="6" t="s">
        <v>384</v>
      </c>
      <c r="S51" s="6" t="s">
        <v>384</v>
      </c>
      <c r="T51" s="6" t="s">
        <v>384</v>
      </c>
      <c r="U51" s="6" t="s">
        <v>384</v>
      </c>
      <c r="V51" s="6"/>
      <c r="W51" s="5" t="s">
        <v>450</v>
      </c>
      <c r="X51" s="5" t="s">
        <v>451</v>
      </c>
      <c r="Y51" s="5" t="s">
        <v>452</v>
      </c>
    </row>
    <row r="52" customFormat="false" ht="247.75" hidden="false" customHeight="false" outlineLevel="0" collapsed="false">
      <c r="A52" s="5" t="n">
        <v>51</v>
      </c>
      <c r="B52" s="5" t="s">
        <v>376</v>
      </c>
      <c r="C52" s="5" t="s">
        <v>376</v>
      </c>
      <c r="D52" s="5" t="s">
        <v>377</v>
      </c>
      <c r="E52" s="5" t="s">
        <v>93</v>
      </c>
      <c r="F52" s="5" t="n">
        <v>99.7</v>
      </c>
      <c r="G52" s="5" t="s">
        <v>402</v>
      </c>
      <c r="H52" s="5"/>
      <c r="I52" s="5" t="s">
        <v>453</v>
      </c>
      <c r="J52" s="5" t="s">
        <v>454</v>
      </c>
      <c r="K52" s="5" t="s">
        <v>455</v>
      </c>
      <c r="L52" s="5" t="s">
        <v>456</v>
      </c>
      <c r="M52" s="5"/>
      <c r="N52" s="5" t="s">
        <v>457</v>
      </c>
      <c r="O52" s="5"/>
      <c r="P52" s="5" t="s">
        <v>458</v>
      </c>
      <c r="Q52" s="6"/>
      <c r="R52" s="6" t="s">
        <v>384</v>
      </c>
      <c r="S52" s="6" t="s">
        <v>384</v>
      </c>
      <c r="T52" s="6" t="s">
        <v>384</v>
      </c>
      <c r="U52" s="6" t="s">
        <v>384</v>
      </c>
      <c r="V52" s="6"/>
      <c r="W52" s="5" t="s">
        <v>459</v>
      </c>
      <c r="X52" s="5" t="s">
        <v>460</v>
      </c>
      <c r="Y52" s="5" t="s">
        <v>461</v>
      </c>
    </row>
    <row r="53" customFormat="false" ht="158.2" hidden="false" customHeight="false" outlineLevel="0" collapsed="false">
      <c r="A53" s="5" t="n">
        <v>52</v>
      </c>
      <c r="B53" s="5" t="s">
        <v>376</v>
      </c>
      <c r="C53" s="5" t="s">
        <v>376</v>
      </c>
      <c r="D53" s="5" t="s">
        <v>377</v>
      </c>
      <c r="E53" s="5" t="s">
        <v>42</v>
      </c>
      <c r="F53" s="5" t="n">
        <v>100</v>
      </c>
      <c r="G53" s="5" t="s">
        <v>378</v>
      </c>
      <c r="H53" s="5" t="n">
        <v>6</v>
      </c>
      <c r="I53" s="5" t="s">
        <v>462</v>
      </c>
      <c r="J53" s="5" t="s">
        <v>463</v>
      </c>
      <c r="K53" s="5" t="s">
        <v>464</v>
      </c>
      <c r="L53" s="5" t="s">
        <v>465</v>
      </c>
      <c r="M53" s="5"/>
      <c r="N53" s="5" t="s">
        <v>465</v>
      </c>
      <c r="O53" s="5"/>
      <c r="P53" s="5" t="s">
        <v>466</v>
      </c>
      <c r="Q53" s="6"/>
      <c r="R53" s="6" t="s">
        <v>384</v>
      </c>
      <c r="S53" s="6" t="s">
        <v>384</v>
      </c>
      <c r="T53" s="6" t="s">
        <v>384</v>
      </c>
      <c r="U53" s="6" t="s">
        <v>384</v>
      </c>
      <c r="V53" s="6"/>
      <c r="W53" s="5" t="s">
        <v>467</v>
      </c>
      <c r="X53" s="5" t="s">
        <v>451</v>
      </c>
      <c r="Y53" s="5" t="s">
        <v>452</v>
      </c>
    </row>
    <row r="54" customFormat="false" ht="247.75" hidden="false" customHeight="false" outlineLevel="0" collapsed="false">
      <c r="A54" s="5" t="n">
        <v>53</v>
      </c>
      <c r="B54" s="5" t="s">
        <v>376</v>
      </c>
      <c r="C54" s="5" t="s">
        <v>376</v>
      </c>
      <c r="D54" s="5" t="s">
        <v>377</v>
      </c>
      <c r="E54" s="5" t="s">
        <v>42</v>
      </c>
      <c r="F54" s="5" t="n">
        <v>100</v>
      </c>
      <c r="G54" s="5" t="s">
        <v>388</v>
      </c>
      <c r="H54" s="5"/>
      <c r="I54" s="5" t="s">
        <v>468</v>
      </c>
      <c r="J54" s="5" t="s">
        <v>469</v>
      </c>
      <c r="K54" s="5" t="s">
        <v>470</v>
      </c>
      <c r="L54" s="5" t="s">
        <v>471</v>
      </c>
      <c r="M54" s="5"/>
      <c r="N54" s="5" t="s">
        <v>471</v>
      </c>
      <c r="O54" s="5"/>
      <c r="P54" s="5" t="s">
        <v>472</v>
      </c>
      <c r="Q54" s="6"/>
      <c r="R54" s="6" t="s">
        <v>384</v>
      </c>
      <c r="S54" s="6" t="s">
        <v>384</v>
      </c>
      <c r="T54" s="6" t="s">
        <v>384</v>
      </c>
      <c r="U54" s="6" t="s">
        <v>384</v>
      </c>
      <c r="V54" s="6"/>
      <c r="W54" s="5" t="s">
        <v>473</v>
      </c>
      <c r="X54" s="5" t="s">
        <v>437</v>
      </c>
      <c r="Y54" s="5" t="s">
        <v>438</v>
      </c>
    </row>
    <row r="55" customFormat="false" ht="191.75" hidden="false" customHeight="false" outlineLevel="0" collapsed="false">
      <c r="A55" s="5" t="n">
        <v>54</v>
      </c>
      <c r="B55" s="5" t="s">
        <v>376</v>
      </c>
      <c r="C55" s="5" t="s">
        <v>376</v>
      </c>
      <c r="D55" s="5" t="s">
        <v>377</v>
      </c>
      <c r="E55" s="5" t="s">
        <v>42</v>
      </c>
      <c r="F55" s="5" t="n">
        <v>100</v>
      </c>
      <c r="G55" s="5" t="s">
        <v>402</v>
      </c>
      <c r="H55" s="5"/>
      <c r="I55" s="5" t="s">
        <v>474</v>
      </c>
      <c r="J55" s="5" t="s">
        <v>475</v>
      </c>
      <c r="K55" s="5" t="s">
        <v>405</v>
      </c>
      <c r="L55" s="5" t="s">
        <v>476</v>
      </c>
      <c r="M55" s="5"/>
      <c r="N55" s="5" t="s">
        <v>476</v>
      </c>
      <c r="O55" s="5"/>
      <c r="P55" s="5" t="s">
        <v>477</v>
      </c>
      <c r="Q55" s="6"/>
      <c r="R55" s="6" t="s">
        <v>384</v>
      </c>
      <c r="S55" s="6" t="s">
        <v>384</v>
      </c>
      <c r="T55" s="6" t="s">
        <v>384</v>
      </c>
      <c r="U55" s="6" t="s">
        <v>384</v>
      </c>
      <c r="V55" s="6"/>
      <c r="W55" s="5" t="s">
        <v>478</v>
      </c>
      <c r="X55" s="5" t="s">
        <v>409</v>
      </c>
      <c r="Y55" s="5" t="s">
        <v>410</v>
      </c>
    </row>
    <row r="56" customFormat="false" ht="281.3" hidden="false" customHeight="false" outlineLevel="0" collapsed="false">
      <c r="A56" s="5" t="n">
        <v>55</v>
      </c>
      <c r="B56" s="5" t="s">
        <v>376</v>
      </c>
      <c r="C56" s="5" t="s">
        <v>376</v>
      </c>
      <c r="D56" s="5" t="s">
        <v>377</v>
      </c>
      <c r="E56" s="5" t="s">
        <v>42</v>
      </c>
      <c r="F56" s="5" t="n">
        <v>100</v>
      </c>
      <c r="G56" s="5" t="s">
        <v>388</v>
      </c>
      <c r="H56" s="5" t="n">
        <v>9</v>
      </c>
      <c r="I56" s="5" t="s">
        <v>479</v>
      </c>
      <c r="J56" s="5" t="s">
        <v>480</v>
      </c>
      <c r="K56" s="5"/>
      <c r="L56" s="5" t="s">
        <v>481</v>
      </c>
      <c r="M56" s="5" t="s">
        <v>482</v>
      </c>
      <c r="N56" s="5" t="s">
        <v>481</v>
      </c>
      <c r="O56" s="5"/>
      <c r="P56" s="5" t="s">
        <v>483</v>
      </c>
      <c r="Q56" s="6"/>
      <c r="R56" s="6" t="s">
        <v>384</v>
      </c>
      <c r="S56" s="6" t="s">
        <v>384</v>
      </c>
      <c r="T56" s="6" t="s">
        <v>384</v>
      </c>
      <c r="U56" s="6" t="s">
        <v>384</v>
      </c>
      <c r="V56" s="6"/>
      <c r="W56" s="5" t="s">
        <v>484</v>
      </c>
      <c r="X56" s="5" t="s">
        <v>485</v>
      </c>
      <c r="Y56" s="5" t="s">
        <v>486</v>
      </c>
    </row>
    <row r="57" customFormat="false" ht="225.35" hidden="false" customHeight="false" outlineLevel="0" collapsed="false">
      <c r="A57" s="5" t="n">
        <v>56</v>
      </c>
      <c r="B57" s="5" t="s">
        <v>376</v>
      </c>
      <c r="C57" s="5" t="s">
        <v>376</v>
      </c>
      <c r="D57" s="5" t="s">
        <v>377</v>
      </c>
      <c r="E57" s="5" t="s">
        <v>42</v>
      </c>
      <c r="F57" s="5" t="n">
        <v>100</v>
      </c>
      <c r="G57" s="5" t="s">
        <v>378</v>
      </c>
      <c r="H57" s="5"/>
      <c r="I57" s="5" t="s">
        <v>487</v>
      </c>
      <c r="J57" s="5" t="s">
        <v>488</v>
      </c>
      <c r="K57" s="5" t="s">
        <v>489</v>
      </c>
      <c r="L57" s="5" t="s">
        <v>490</v>
      </c>
      <c r="M57" s="5"/>
      <c r="N57" s="5" t="s">
        <v>490</v>
      </c>
      <c r="O57" s="5"/>
      <c r="P57" s="5" t="s">
        <v>491</v>
      </c>
      <c r="Q57" s="6"/>
      <c r="R57" s="6" t="s">
        <v>384</v>
      </c>
      <c r="S57" s="6" t="s">
        <v>384</v>
      </c>
      <c r="T57" s="6" t="s">
        <v>384</v>
      </c>
      <c r="U57" s="6" t="s">
        <v>384</v>
      </c>
      <c r="V57" s="6"/>
      <c r="W57" s="5" t="s">
        <v>492</v>
      </c>
      <c r="X57" s="5" t="s">
        <v>386</v>
      </c>
      <c r="Y57" s="5" t="s">
        <v>387</v>
      </c>
    </row>
    <row r="58" customFormat="false" ht="258.95" hidden="false" customHeight="false" outlineLevel="0" collapsed="false">
      <c r="A58" s="5" t="n">
        <v>57</v>
      </c>
      <c r="B58" s="5" t="s">
        <v>376</v>
      </c>
      <c r="C58" s="5" t="s">
        <v>376</v>
      </c>
      <c r="D58" s="5" t="s">
        <v>377</v>
      </c>
      <c r="E58" s="5" t="s">
        <v>93</v>
      </c>
      <c r="F58" s="5" t="n">
        <v>99.6</v>
      </c>
      <c r="G58" s="5" t="s">
        <v>493</v>
      </c>
      <c r="H58" s="5" t="n">
        <v>20</v>
      </c>
      <c r="I58" s="5" t="s">
        <v>494</v>
      </c>
      <c r="J58" s="5" t="s">
        <v>495</v>
      </c>
      <c r="K58" s="5"/>
      <c r="L58" s="5" t="s">
        <v>496</v>
      </c>
      <c r="M58" s="5" t="s">
        <v>497</v>
      </c>
      <c r="N58" s="5" t="s">
        <v>496</v>
      </c>
      <c r="O58" s="5"/>
      <c r="P58" s="5" t="s">
        <v>498</v>
      </c>
      <c r="Q58" s="6"/>
      <c r="R58" s="6" t="s">
        <v>384</v>
      </c>
      <c r="S58" s="6" t="s">
        <v>384</v>
      </c>
      <c r="T58" s="6" t="s">
        <v>384</v>
      </c>
      <c r="U58" s="6" t="s">
        <v>384</v>
      </c>
      <c r="V58" s="6"/>
      <c r="W58" s="5" t="s">
        <v>499</v>
      </c>
      <c r="X58" s="5" t="s">
        <v>500</v>
      </c>
      <c r="Y58" s="5" t="s">
        <v>501</v>
      </c>
    </row>
    <row r="59" customFormat="false" ht="270.1" hidden="false" customHeight="false" outlineLevel="0" collapsed="false">
      <c r="A59" s="5" t="n">
        <v>58</v>
      </c>
      <c r="B59" s="5" t="s">
        <v>376</v>
      </c>
      <c r="C59" s="5" t="s">
        <v>376</v>
      </c>
      <c r="D59" s="5" t="s">
        <v>377</v>
      </c>
      <c r="E59" s="5" t="s">
        <v>42</v>
      </c>
      <c r="F59" s="5" t="n">
        <v>100</v>
      </c>
      <c r="G59" s="5" t="s">
        <v>402</v>
      </c>
      <c r="H59" s="5"/>
      <c r="I59" s="5" t="s">
        <v>502</v>
      </c>
      <c r="J59" s="5" t="s">
        <v>503</v>
      </c>
      <c r="K59" s="5" t="s">
        <v>504</v>
      </c>
      <c r="L59" s="5" t="s">
        <v>505</v>
      </c>
      <c r="M59" s="5"/>
      <c r="N59" s="5" t="s">
        <v>505</v>
      </c>
      <c r="O59" s="5"/>
      <c r="P59" s="5" t="s">
        <v>506</v>
      </c>
      <c r="Q59" s="6"/>
      <c r="R59" s="6" t="s">
        <v>384</v>
      </c>
      <c r="S59" s="6" t="s">
        <v>384</v>
      </c>
      <c r="T59" s="6" t="s">
        <v>384</v>
      </c>
      <c r="U59" s="6" t="s">
        <v>384</v>
      </c>
      <c r="V59" s="6"/>
      <c r="W59" s="5" t="s">
        <v>507</v>
      </c>
      <c r="X59" s="5" t="s">
        <v>386</v>
      </c>
      <c r="Y59" s="5" t="s">
        <v>387</v>
      </c>
    </row>
    <row r="60" customFormat="false" ht="281.3" hidden="false" customHeight="false" outlineLevel="0" collapsed="false">
      <c r="A60" s="5" t="n">
        <v>59</v>
      </c>
      <c r="B60" s="5" t="s">
        <v>376</v>
      </c>
      <c r="C60" s="5" t="s">
        <v>376</v>
      </c>
      <c r="D60" s="5" t="s">
        <v>377</v>
      </c>
      <c r="E60" s="5" t="s">
        <v>42</v>
      </c>
      <c r="F60" s="5" t="n">
        <v>100</v>
      </c>
      <c r="G60" s="5" t="s">
        <v>402</v>
      </c>
      <c r="H60" s="5"/>
      <c r="I60" s="5" t="s">
        <v>508</v>
      </c>
      <c r="J60" s="5" t="s">
        <v>509</v>
      </c>
      <c r="K60" s="5" t="s">
        <v>510</v>
      </c>
      <c r="L60" s="5" t="s">
        <v>511</v>
      </c>
      <c r="M60" s="5"/>
      <c r="N60" s="5" t="s">
        <v>511</v>
      </c>
      <c r="O60" s="5"/>
      <c r="P60" s="5" t="s">
        <v>512</v>
      </c>
      <c r="Q60" s="6"/>
      <c r="R60" s="6" t="s">
        <v>384</v>
      </c>
      <c r="S60" s="6" t="s">
        <v>384</v>
      </c>
      <c r="T60" s="6" t="s">
        <v>384</v>
      </c>
      <c r="U60" s="6" t="s">
        <v>384</v>
      </c>
      <c r="V60" s="6"/>
      <c r="W60" s="5" t="s">
        <v>513</v>
      </c>
      <c r="X60" s="5" t="s">
        <v>437</v>
      </c>
      <c r="Y60" s="5" t="s">
        <v>438</v>
      </c>
    </row>
    <row r="61" customFormat="false" ht="225.35" hidden="false" customHeight="false" outlineLevel="0" collapsed="false">
      <c r="A61" s="5" t="n">
        <v>60</v>
      </c>
      <c r="B61" s="5" t="s">
        <v>376</v>
      </c>
      <c r="C61" s="5" t="s">
        <v>376</v>
      </c>
      <c r="D61" s="5" t="s">
        <v>377</v>
      </c>
      <c r="E61" s="5" t="s">
        <v>93</v>
      </c>
      <c r="F61" s="5" t="n">
        <v>99</v>
      </c>
      <c r="G61" s="5" t="s">
        <v>388</v>
      </c>
      <c r="H61" s="5"/>
      <c r="I61" s="5" t="s">
        <v>514</v>
      </c>
      <c r="J61" s="5" t="s">
        <v>515</v>
      </c>
      <c r="K61" s="5"/>
      <c r="L61" s="5" t="s">
        <v>516</v>
      </c>
      <c r="M61" s="5"/>
      <c r="N61" s="5" t="s">
        <v>516</v>
      </c>
      <c r="O61" s="5"/>
      <c r="P61" s="5" t="s">
        <v>517</v>
      </c>
      <c r="Q61" s="6"/>
      <c r="R61" s="6" t="s">
        <v>384</v>
      </c>
      <c r="S61" s="6" t="s">
        <v>384</v>
      </c>
      <c r="T61" s="6" t="s">
        <v>384</v>
      </c>
      <c r="U61" s="6" t="s">
        <v>384</v>
      </c>
      <c r="V61" s="6"/>
      <c r="W61" s="5" t="s">
        <v>518</v>
      </c>
      <c r="X61" s="5" t="s">
        <v>460</v>
      </c>
      <c r="Y61" s="5" t="s">
        <v>461</v>
      </c>
    </row>
    <row r="62" customFormat="false" ht="281.3" hidden="false" customHeight="false" outlineLevel="0" collapsed="false">
      <c r="A62" s="5" t="n">
        <v>61</v>
      </c>
      <c r="B62" s="5" t="s">
        <v>519</v>
      </c>
      <c r="C62" s="5" t="s">
        <v>520</v>
      </c>
      <c r="D62" s="5" t="s">
        <v>521</v>
      </c>
      <c r="E62" s="5" t="s">
        <v>522</v>
      </c>
      <c r="F62" s="5" t="n">
        <v>100</v>
      </c>
      <c r="G62" s="5" t="s">
        <v>388</v>
      </c>
      <c r="H62" s="5"/>
      <c r="I62" s="5" t="s">
        <v>523</v>
      </c>
      <c r="J62" s="5" t="s">
        <v>524</v>
      </c>
      <c r="K62" s="5" t="s">
        <v>525</v>
      </c>
      <c r="L62" s="5" t="s">
        <v>526</v>
      </c>
      <c r="M62" s="5"/>
      <c r="N62" s="5" t="s">
        <v>526</v>
      </c>
      <c r="O62" s="5"/>
      <c r="P62" s="5" t="s">
        <v>527</v>
      </c>
      <c r="Q62" s="6"/>
      <c r="R62" s="6"/>
      <c r="S62" s="6"/>
      <c r="T62" s="6"/>
      <c r="U62" s="6"/>
      <c r="V62" s="6"/>
      <c r="W62" s="5" t="s">
        <v>528</v>
      </c>
      <c r="X62" s="5" t="s">
        <v>529</v>
      </c>
      <c r="Y62" s="5" t="s">
        <v>530</v>
      </c>
    </row>
    <row r="63" customFormat="false" ht="247.75" hidden="false" customHeight="false" outlineLevel="0" collapsed="false">
      <c r="A63" s="5" t="n">
        <v>62</v>
      </c>
      <c r="B63" s="5" t="s">
        <v>519</v>
      </c>
      <c r="C63" s="5" t="s">
        <v>520</v>
      </c>
      <c r="D63" s="5" t="s">
        <v>521</v>
      </c>
      <c r="E63" s="5" t="s">
        <v>522</v>
      </c>
      <c r="F63" s="5" t="n">
        <v>100</v>
      </c>
      <c r="G63" s="5" t="s">
        <v>388</v>
      </c>
      <c r="H63" s="5"/>
      <c r="I63" s="5" t="s">
        <v>531</v>
      </c>
      <c r="J63" s="5" t="s">
        <v>532</v>
      </c>
      <c r="K63" s="5" t="s">
        <v>533</v>
      </c>
      <c r="L63" s="5" t="s">
        <v>534</v>
      </c>
      <c r="M63" s="5" t="s">
        <v>535</v>
      </c>
      <c r="N63" s="5" t="s">
        <v>534</v>
      </c>
      <c r="O63" s="5"/>
      <c r="P63" s="5" t="s">
        <v>536</v>
      </c>
      <c r="Q63" s="6"/>
      <c r="R63" s="6"/>
      <c r="S63" s="6"/>
      <c r="T63" s="6"/>
      <c r="U63" s="6"/>
      <c r="V63" s="6"/>
      <c r="W63" s="5" t="s">
        <v>537</v>
      </c>
      <c r="X63" s="5" t="s">
        <v>538</v>
      </c>
      <c r="Y63" s="5" t="s">
        <v>539</v>
      </c>
    </row>
    <row r="64" customFormat="false" ht="236.55" hidden="false" customHeight="false" outlineLevel="0" collapsed="false">
      <c r="A64" s="5" t="n">
        <v>63</v>
      </c>
      <c r="B64" s="5" t="s">
        <v>519</v>
      </c>
      <c r="C64" s="5" t="s">
        <v>520</v>
      </c>
      <c r="D64" s="5" t="s">
        <v>521</v>
      </c>
      <c r="E64" s="5" t="s">
        <v>522</v>
      </c>
      <c r="F64" s="5" t="n">
        <v>100</v>
      </c>
      <c r="G64" s="5" t="s">
        <v>388</v>
      </c>
      <c r="H64" s="5"/>
      <c r="I64" s="5" t="s">
        <v>540</v>
      </c>
      <c r="J64" s="5" t="s">
        <v>541</v>
      </c>
      <c r="K64" s="5" t="s">
        <v>542</v>
      </c>
      <c r="L64" s="5" t="s">
        <v>543</v>
      </c>
      <c r="M64" s="5" t="s">
        <v>544</v>
      </c>
      <c r="N64" s="5" t="s">
        <v>543</v>
      </c>
      <c r="O64" s="5"/>
      <c r="P64" s="5" t="s">
        <v>545</v>
      </c>
      <c r="Q64" s="6"/>
      <c r="R64" s="6"/>
      <c r="S64" s="6"/>
      <c r="T64" s="6"/>
      <c r="U64" s="6"/>
      <c r="V64" s="6"/>
      <c r="W64" s="5" t="s">
        <v>546</v>
      </c>
      <c r="X64" s="5" t="s">
        <v>547</v>
      </c>
      <c r="Y64" s="5" t="s">
        <v>548</v>
      </c>
    </row>
    <row r="65" customFormat="false" ht="594.75" hidden="false" customHeight="false" outlineLevel="0" collapsed="false">
      <c r="A65" s="5" t="n">
        <v>64</v>
      </c>
      <c r="B65" s="5" t="s">
        <v>519</v>
      </c>
      <c r="C65" s="5" t="s">
        <v>520</v>
      </c>
      <c r="D65" s="5" t="s">
        <v>521</v>
      </c>
      <c r="E65" s="5" t="s">
        <v>522</v>
      </c>
      <c r="F65" s="5" t="n">
        <v>100</v>
      </c>
      <c r="G65" s="5" t="s">
        <v>388</v>
      </c>
      <c r="H65" s="5" t="n">
        <v>26</v>
      </c>
      <c r="I65" s="5" t="s">
        <v>549</v>
      </c>
      <c r="J65" s="5" t="s">
        <v>550</v>
      </c>
      <c r="K65" s="5" t="s">
        <v>551</v>
      </c>
      <c r="L65" s="5" t="s">
        <v>552</v>
      </c>
      <c r="M65" s="5" t="s">
        <v>553</v>
      </c>
      <c r="N65" s="5" t="s">
        <v>552</v>
      </c>
      <c r="O65" s="5"/>
      <c r="P65" s="5" t="s">
        <v>554</v>
      </c>
      <c r="Q65" s="6"/>
      <c r="R65" s="6"/>
      <c r="S65" s="6"/>
      <c r="T65" s="6"/>
      <c r="U65" s="6"/>
      <c r="V65" s="6"/>
      <c r="W65" s="5" t="s">
        <v>555</v>
      </c>
      <c r="X65" s="5" t="s">
        <v>556</v>
      </c>
      <c r="Y65" s="5" t="s">
        <v>557</v>
      </c>
    </row>
    <row r="66" customFormat="false" ht="449.25" hidden="false" customHeight="false" outlineLevel="0" collapsed="false">
      <c r="A66" s="5" t="n">
        <v>65</v>
      </c>
      <c r="B66" s="5" t="s">
        <v>519</v>
      </c>
      <c r="C66" s="5" t="s">
        <v>520</v>
      </c>
      <c r="D66" s="5" t="s">
        <v>521</v>
      </c>
      <c r="E66" s="5" t="s">
        <v>93</v>
      </c>
      <c r="F66" s="5" t="n">
        <v>99.7</v>
      </c>
      <c r="G66" s="5" t="s">
        <v>388</v>
      </c>
      <c r="H66" s="5" t="n">
        <v>642</v>
      </c>
      <c r="I66" s="5" t="s">
        <v>558</v>
      </c>
      <c r="J66" s="5" t="s">
        <v>559</v>
      </c>
      <c r="K66" s="5" t="s">
        <v>560</v>
      </c>
      <c r="L66" s="5" t="s">
        <v>561</v>
      </c>
      <c r="M66" s="5" t="s">
        <v>562</v>
      </c>
      <c r="N66" s="5" t="s">
        <v>561</v>
      </c>
      <c r="O66" s="5"/>
      <c r="P66" s="5" t="s">
        <v>563</v>
      </c>
      <c r="Q66" s="6"/>
      <c r="R66" s="6"/>
      <c r="S66" s="6"/>
      <c r="T66" s="6"/>
      <c r="U66" s="6"/>
      <c r="V66" s="6"/>
      <c r="W66" s="5" t="s">
        <v>564</v>
      </c>
      <c r="X66" s="5" t="s">
        <v>258</v>
      </c>
      <c r="Y66" s="5" t="s">
        <v>259</v>
      </c>
    </row>
    <row r="67" customFormat="false" ht="180.55" hidden="false" customHeight="false" outlineLevel="0" collapsed="false">
      <c r="A67" s="5" t="n">
        <v>66</v>
      </c>
      <c r="B67" s="5" t="s">
        <v>519</v>
      </c>
      <c r="C67" s="5" t="s">
        <v>520</v>
      </c>
      <c r="D67" s="5" t="s">
        <v>521</v>
      </c>
      <c r="E67" s="5" t="s">
        <v>522</v>
      </c>
      <c r="F67" s="5" t="n">
        <v>100</v>
      </c>
      <c r="G67" s="5" t="s">
        <v>378</v>
      </c>
      <c r="H67" s="5"/>
      <c r="I67" s="5" t="s">
        <v>565</v>
      </c>
      <c r="J67" s="5" t="s">
        <v>566</v>
      </c>
      <c r="K67" s="5" t="s">
        <v>567</v>
      </c>
      <c r="L67" s="5" t="s">
        <v>568</v>
      </c>
      <c r="M67" s="5" t="s">
        <v>569</v>
      </c>
      <c r="N67" s="5" t="s">
        <v>568</v>
      </c>
      <c r="O67" s="5"/>
      <c r="P67" s="5" t="s">
        <v>570</v>
      </c>
      <c r="Q67" s="6"/>
      <c r="R67" s="6"/>
      <c r="S67" s="6"/>
      <c r="T67" s="6"/>
      <c r="U67" s="6"/>
      <c r="V67" s="6"/>
      <c r="W67" s="5" t="s">
        <v>571</v>
      </c>
      <c r="X67" s="5" t="s">
        <v>572</v>
      </c>
      <c r="Y67" s="5" t="s">
        <v>573</v>
      </c>
    </row>
    <row r="68" customFormat="false" ht="348.5" hidden="false" customHeight="false" outlineLevel="0" collapsed="false">
      <c r="A68" s="5" t="n">
        <v>67</v>
      </c>
      <c r="B68" s="5" t="s">
        <v>519</v>
      </c>
      <c r="C68" s="5" t="s">
        <v>520</v>
      </c>
      <c r="D68" s="5" t="s">
        <v>521</v>
      </c>
      <c r="E68" s="5" t="s">
        <v>522</v>
      </c>
      <c r="F68" s="5" t="n">
        <v>100</v>
      </c>
      <c r="G68" s="5" t="s">
        <v>388</v>
      </c>
      <c r="H68" s="5"/>
      <c r="I68" s="5" t="s">
        <v>574</v>
      </c>
      <c r="J68" s="5" t="s">
        <v>575</v>
      </c>
      <c r="K68" s="5" t="s">
        <v>576</v>
      </c>
      <c r="L68" s="5" t="s">
        <v>577</v>
      </c>
      <c r="M68" s="5" t="s">
        <v>578</v>
      </c>
      <c r="N68" s="5" t="s">
        <v>577</v>
      </c>
      <c r="O68" s="5"/>
      <c r="P68" s="5" t="s">
        <v>579</v>
      </c>
      <c r="Q68" s="6"/>
      <c r="R68" s="6"/>
      <c r="S68" s="6"/>
      <c r="T68" s="6"/>
      <c r="U68" s="6"/>
      <c r="V68" s="6"/>
      <c r="W68" s="5" t="s">
        <v>580</v>
      </c>
      <c r="X68" s="5" t="s">
        <v>581</v>
      </c>
      <c r="Y68" s="5" t="s">
        <v>582</v>
      </c>
    </row>
    <row r="69" customFormat="false" ht="382.05" hidden="false" customHeight="false" outlineLevel="0" collapsed="false">
      <c r="A69" s="5" t="n">
        <v>68</v>
      </c>
      <c r="B69" s="5" t="s">
        <v>519</v>
      </c>
      <c r="C69" s="5" t="s">
        <v>520</v>
      </c>
      <c r="D69" s="5" t="s">
        <v>521</v>
      </c>
      <c r="E69" s="5" t="s">
        <v>522</v>
      </c>
      <c r="F69" s="5" t="n">
        <v>100</v>
      </c>
      <c r="G69" s="5" t="s">
        <v>388</v>
      </c>
      <c r="H69" s="5"/>
      <c r="I69" s="5" t="s">
        <v>583</v>
      </c>
      <c r="J69" s="5" t="s">
        <v>584</v>
      </c>
      <c r="K69" s="5" t="s">
        <v>585</v>
      </c>
      <c r="L69" s="5" t="s">
        <v>586</v>
      </c>
      <c r="M69" s="5" t="s">
        <v>587</v>
      </c>
      <c r="N69" s="5" t="s">
        <v>586</v>
      </c>
      <c r="O69" s="5"/>
      <c r="P69" s="5" t="s">
        <v>588</v>
      </c>
      <c r="Q69" s="6"/>
      <c r="R69" s="6"/>
      <c r="S69" s="6"/>
      <c r="T69" s="6"/>
      <c r="U69" s="6"/>
      <c r="V69" s="6"/>
      <c r="W69" s="5" t="s">
        <v>589</v>
      </c>
      <c r="X69" s="5" t="s">
        <v>590</v>
      </c>
      <c r="Y69" s="5" t="s">
        <v>591</v>
      </c>
    </row>
    <row r="70" customFormat="false" ht="337.3" hidden="false" customHeight="false" outlineLevel="0" collapsed="false">
      <c r="A70" s="5" t="n">
        <v>69</v>
      </c>
      <c r="B70" s="5" t="s">
        <v>519</v>
      </c>
      <c r="C70" s="5" t="s">
        <v>520</v>
      </c>
      <c r="D70" s="5" t="s">
        <v>521</v>
      </c>
      <c r="E70" s="5" t="s">
        <v>522</v>
      </c>
      <c r="F70" s="5" t="n">
        <v>100</v>
      </c>
      <c r="G70" s="5" t="s">
        <v>402</v>
      </c>
      <c r="H70" s="5"/>
      <c r="I70" s="5" t="s">
        <v>592</v>
      </c>
      <c r="J70" s="5" t="s">
        <v>593</v>
      </c>
      <c r="K70" s="5" t="s">
        <v>594</v>
      </c>
      <c r="L70" s="5" t="s">
        <v>595</v>
      </c>
      <c r="M70" s="5" t="s">
        <v>596</v>
      </c>
      <c r="N70" s="5" t="s">
        <v>595</v>
      </c>
      <c r="O70" s="5"/>
      <c r="P70" s="5" t="s">
        <v>597</v>
      </c>
      <c r="Q70" s="6"/>
      <c r="R70" s="6"/>
      <c r="S70" s="6"/>
      <c r="T70" s="6"/>
      <c r="U70" s="6"/>
      <c r="V70" s="6"/>
      <c r="W70" s="5" t="s">
        <v>598</v>
      </c>
      <c r="X70" s="5" t="s">
        <v>599</v>
      </c>
      <c r="Y70" s="5" t="s">
        <v>600</v>
      </c>
    </row>
    <row r="71" customFormat="false" ht="270.1" hidden="false" customHeight="false" outlineLevel="0" collapsed="false">
      <c r="A71" s="5" t="n">
        <v>70</v>
      </c>
      <c r="B71" s="5" t="s">
        <v>519</v>
      </c>
      <c r="C71" s="5" t="s">
        <v>520</v>
      </c>
      <c r="D71" s="5" t="s">
        <v>521</v>
      </c>
      <c r="E71" s="5" t="s">
        <v>522</v>
      </c>
      <c r="F71" s="5" t="n">
        <v>100</v>
      </c>
      <c r="G71" s="5" t="s">
        <v>388</v>
      </c>
      <c r="H71" s="5" t="n">
        <v>9</v>
      </c>
      <c r="I71" s="5" t="s">
        <v>601</v>
      </c>
      <c r="J71" s="5" t="s">
        <v>602</v>
      </c>
      <c r="K71" s="5"/>
      <c r="L71" s="5" t="s">
        <v>603</v>
      </c>
      <c r="M71" s="5" t="s">
        <v>604</v>
      </c>
      <c r="N71" s="5" t="s">
        <v>603</v>
      </c>
      <c r="O71" s="5"/>
      <c r="P71" s="5" t="s">
        <v>605</v>
      </c>
      <c r="Q71" s="6"/>
      <c r="R71" s="6"/>
      <c r="S71" s="6"/>
      <c r="T71" s="6"/>
      <c r="U71" s="6"/>
      <c r="V71" s="6"/>
      <c r="W71" s="5" t="s">
        <v>606</v>
      </c>
      <c r="X71" s="5" t="s">
        <v>607</v>
      </c>
      <c r="Y71" s="5" t="s">
        <v>608</v>
      </c>
    </row>
    <row r="72" customFormat="false" ht="135.8" hidden="false" customHeight="false" outlineLevel="0" collapsed="false">
      <c r="A72" s="5" t="n">
        <v>71</v>
      </c>
      <c r="B72" s="5" t="s">
        <v>609</v>
      </c>
      <c r="C72" s="5" t="s">
        <v>609</v>
      </c>
      <c r="D72" s="5" t="s">
        <v>610</v>
      </c>
      <c r="E72" s="5" t="s">
        <v>93</v>
      </c>
      <c r="F72" s="5" t="n">
        <v>99.1</v>
      </c>
      <c r="G72" s="5" t="s">
        <v>388</v>
      </c>
      <c r="H72" s="5"/>
      <c r="I72" s="5" t="s">
        <v>611</v>
      </c>
      <c r="J72" s="5" t="s">
        <v>45</v>
      </c>
      <c r="K72" s="5"/>
      <c r="L72" s="5" t="s">
        <v>612</v>
      </c>
      <c r="M72" s="5"/>
      <c r="N72" s="5" t="s">
        <v>612</v>
      </c>
      <c r="O72" s="5"/>
      <c r="P72" s="5" t="s">
        <v>613</v>
      </c>
      <c r="Q72" s="6"/>
      <c r="R72" s="6" t="s">
        <v>384</v>
      </c>
      <c r="S72" s="6" t="s">
        <v>384</v>
      </c>
      <c r="T72" s="6" t="s">
        <v>384</v>
      </c>
      <c r="U72" s="6" t="s">
        <v>384</v>
      </c>
      <c r="V72" s="6"/>
      <c r="W72" s="5" t="s">
        <v>614</v>
      </c>
      <c r="X72" s="5" t="s">
        <v>615</v>
      </c>
      <c r="Y72" s="5" t="s">
        <v>616</v>
      </c>
    </row>
    <row r="73" customFormat="false" ht="236.55" hidden="false" customHeight="false" outlineLevel="0" collapsed="false">
      <c r="A73" s="5" t="n">
        <v>72</v>
      </c>
      <c r="B73" s="5" t="s">
        <v>609</v>
      </c>
      <c r="C73" s="5" t="s">
        <v>609</v>
      </c>
      <c r="D73" s="5" t="s">
        <v>610</v>
      </c>
      <c r="E73" s="5" t="s">
        <v>93</v>
      </c>
      <c r="F73" s="5" t="n">
        <v>97.6</v>
      </c>
      <c r="G73" s="5" t="s">
        <v>388</v>
      </c>
      <c r="H73" s="5" t="n">
        <v>22</v>
      </c>
      <c r="I73" s="5" t="s">
        <v>617</v>
      </c>
      <c r="J73" s="5" t="s">
        <v>618</v>
      </c>
      <c r="K73" s="5" t="s">
        <v>619</v>
      </c>
      <c r="L73" s="5" t="s">
        <v>620</v>
      </c>
      <c r="M73" s="5" t="s">
        <v>621</v>
      </c>
      <c r="N73" s="5" t="s">
        <v>620</v>
      </c>
      <c r="O73" s="5"/>
      <c r="P73" s="5" t="s">
        <v>622</v>
      </c>
      <c r="Q73" s="6"/>
      <c r="R73" s="6" t="s">
        <v>384</v>
      </c>
      <c r="S73" s="6" t="s">
        <v>384</v>
      </c>
      <c r="T73" s="6" t="s">
        <v>384</v>
      </c>
      <c r="U73" s="6" t="s">
        <v>384</v>
      </c>
      <c r="V73" s="6"/>
      <c r="W73" s="5" t="s">
        <v>623</v>
      </c>
      <c r="X73" s="5" t="s">
        <v>500</v>
      </c>
      <c r="Y73" s="5" t="s">
        <v>501</v>
      </c>
    </row>
    <row r="74" customFormat="false" ht="124.6" hidden="false" customHeight="false" outlineLevel="0" collapsed="false">
      <c r="A74" s="5" t="n">
        <v>73</v>
      </c>
      <c r="B74" s="5" t="s">
        <v>609</v>
      </c>
      <c r="C74" s="5" t="s">
        <v>609</v>
      </c>
      <c r="D74" s="5" t="s">
        <v>610</v>
      </c>
      <c r="E74" s="5" t="s">
        <v>93</v>
      </c>
      <c r="F74" s="5" t="n">
        <v>96.6</v>
      </c>
      <c r="G74" s="5" t="s">
        <v>378</v>
      </c>
      <c r="H74" s="5"/>
      <c r="I74" s="5" t="s">
        <v>624</v>
      </c>
      <c r="J74" s="5" t="s">
        <v>625</v>
      </c>
      <c r="K74" s="5" t="s">
        <v>626</v>
      </c>
      <c r="L74" s="5" t="s">
        <v>627</v>
      </c>
      <c r="M74" s="5"/>
      <c r="N74" s="5" t="s">
        <v>627</v>
      </c>
      <c r="O74" s="5"/>
      <c r="P74" s="5" t="s">
        <v>628</v>
      </c>
      <c r="Q74" s="6"/>
      <c r="R74" s="6" t="s">
        <v>384</v>
      </c>
      <c r="S74" s="6" t="s">
        <v>384</v>
      </c>
      <c r="T74" s="6" t="s">
        <v>384</v>
      </c>
      <c r="U74" s="6" t="s">
        <v>384</v>
      </c>
      <c r="V74" s="6"/>
      <c r="W74" s="5" t="s">
        <v>629</v>
      </c>
      <c r="X74" s="5" t="s">
        <v>630</v>
      </c>
      <c r="Y74" s="5" t="s">
        <v>631</v>
      </c>
    </row>
    <row r="75" customFormat="false" ht="292.5" hidden="false" customHeight="false" outlineLevel="0" collapsed="false">
      <c r="A75" s="5" t="n">
        <v>74</v>
      </c>
      <c r="B75" s="5" t="s">
        <v>609</v>
      </c>
      <c r="C75" s="5" t="s">
        <v>609</v>
      </c>
      <c r="D75" s="5" t="s">
        <v>610</v>
      </c>
      <c r="E75" s="5" t="s">
        <v>42</v>
      </c>
      <c r="F75" s="5" t="n">
        <v>100</v>
      </c>
      <c r="G75" s="5" t="s">
        <v>378</v>
      </c>
      <c r="H75" s="5"/>
      <c r="I75" s="5" t="s">
        <v>632</v>
      </c>
      <c r="J75" s="5" t="s">
        <v>633</v>
      </c>
      <c r="K75" s="5" t="s">
        <v>634</v>
      </c>
      <c r="L75" s="5" t="s">
        <v>635</v>
      </c>
      <c r="M75" s="5"/>
      <c r="N75" s="5" t="s">
        <v>635</v>
      </c>
      <c r="O75" s="5"/>
      <c r="P75" s="5" t="s">
        <v>636</v>
      </c>
      <c r="Q75" s="6"/>
      <c r="R75" s="6" t="s">
        <v>384</v>
      </c>
      <c r="S75" s="6" t="s">
        <v>384</v>
      </c>
      <c r="T75" s="6" t="s">
        <v>384</v>
      </c>
      <c r="U75" s="6" t="s">
        <v>384</v>
      </c>
      <c r="V75" s="6"/>
      <c r="W75" s="5" t="s">
        <v>637</v>
      </c>
      <c r="X75" s="5" t="s">
        <v>638</v>
      </c>
      <c r="Y75" s="5" t="s">
        <v>639</v>
      </c>
    </row>
    <row r="76" customFormat="false" ht="135.8" hidden="false" customHeight="false" outlineLevel="0" collapsed="false">
      <c r="A76" s="5" t="n">
        <v>75</v>
      </c>
      <c r="B76" s="5" t="s">
        <v>609</v>
      </c>
      <c r="C76" s="5" t="s">
        <v>609</v>
      </c>
      <c r="D76" s="5" t="s">
        <v>610</v>
      </c>
      <c r="E76" s="5" t="s">
        <v>93</v>
      </c>
      <c r="F76" s="5" t="n">
        <v>98.9</v>
      </c>
      <c r="G76" s="5" t="s">
        <v>388</v>
      </c>
      <c r="H76" s="5"/>
      <c r="I76" s="5" t="s">
        <v>640</v>
      </c>
      <c r="J76" s="5" t="s">
        <v>641</v>
      </c>
      <c r="K76" s="5"/>
      <c r="L76" s="5" t="s">
        <v>642</v>
      </c>
      <c r="M76" s="5"/>
      <c r="N76" s="5" t="s">
        <v>642</v>
      </c>
      <c r="O76" s="5"/>
      <c r="P76" s="5" t="s">
        <v>643</v>
      </c>
      <c r="Q76" s="6"/>
      <c r="R76" s="6" t="s">
        <v>384</v>
      </c>
      <c r="S76" s="6" t="s">
        <v>384</v>
      </c>
      <c r="T76" s="6" t="s">
        <v>384</v>
      </c>
      <c r="U76" s="6" t="s">
        <v>384</v>
      </c>
      <c r="V76" s="6"/>
      <c r="W76" s="5" t="s">
        <v>644</v>
      </c>
      <c r="X76" s="5" t="s">
        <v>615</v>
      </c>
      <c r="Y76" s="5" t="s">
        <v>616</v>
      </c>
    </row>
    <row r="77" customFormat="false" ht="247.75" hidden="false" customHeight="false" outlineLevel="0" collapsed="false">
      <c r="A77" s="5" t="n">
        <v>76</v>
      </c>
      <c r="B77" s="5" t="s">
        <v>645</v>
      </c>
      <c r="C77" s="5" t="s">
        <v>645</v>
      </c>
      <c r="D77" s="5" t="s">
        <v>41</v>
      </c>
      <c r="E77" s="5" t="s">
        <v>42</v>
      </c>
      <c r="F77" s="5" t="n">
        <v>100</v>
      </c>
      <c r="G77" s="5" t="s">
        <v>388</v>
      </c>
      <c r="H77" s="5"/>
      <c r="I77" s="5" t="s">
        <v>646</v>
      </c>
      <c r="J77" s="5" t="s">
        <v>647</v>
      </c>
      <c r="K77" s="5"/>
      <c r="L77" s="5" t="s">
        <v>648</v>
      </c>
      <c r="M77" s="5"/>
      <c r="N77" s="5" t="s">
        <v>648</v>
      </c>
      <c r="O77" s="5"/>
      <c r="P77" s="5" t="s">
        <v>649</v>
      </c>
      <c r="Q77" s="6"/>
      <c r="R77" s="6" t="s">
        <v>384</v>
      </c>
      <c r="S77" s="6" t="s">
        <v>384</v>
      </c>
      <c r="T77" s="6" t="s">
        <v>384</v>
      </c>
      <c r="U77" s="6" t="s">
        <v>384</v>
      </c>
      <c r="V77" s="6"/>
      <c r="W77" s="5" t="s">
        <v>650</v>
      </c>
      <c r="X77" s="5" t="s">
        <v>651</v>
      </c>
      <c r="Y77" s="5" t="s">
        <v>652</v>
      </c>
    </row>
    <row r="78" customFormat="false" ht="202.95" hidden="false" customHeight="false" outlineLevel="0" collapsed="false">
      <c r="A78" s="5" t="n">
        <v>77</v>
      </c>
      <c r="B78" s="5" t="s">
        <v>645</v>
      </c>
      <c r="C78" s="5" t="s">
        <v>645</v>
      </c>
      <c r="D78" s="5" t="s">
        <v>41</v>
      </c>
      <c r="E78" s="5" t="s">
        <v>42</v>
      </c>
      <c r="F78" s="5" t="n">
        <v>100</v>
      </c>
      <c r="G78" s="5" t="s">
        <v>388</v>
      </c>
      <c r="H78" s="5" t="n">
        <v>5</v>
      </c>
      <c r="I78" s="5" t="s">
        <v>653</v>
      </c>
      <c r="J78" s="5" t="s">
        <v>654</v>
      </c>
      <c r="K78" s="5"/>
      <c r="L78" s="5" t="s">
        <v>653</v>
      </c>
      <c r="M78" s="5"/>
      <c r="N78" s="5" t="s">
        <v>653</v>
      </c>
      <c r="O78" s="5"/>
      <c r="P78" s="5" t="s">
        <v>655</v>
      </c>
      <c r="Q78" s="6"/>
      <c r="R78" s="6" t="s">
        <v>384</v>
      </c>
      <c r="S78" s="6" t="s">
        <v>384</v>
      </c>
      <c r="T78" s="6" t="s">
        <v>384</v>
      </c>
      <c r="U78" s="6" t="s">
        <v>384</v>
      </c>
      <c r="V78" s="6"/>
      <c r="W78" s="5" t="s">
        <v>656</v>
      </c>
      <c r="X78" s="5" t="s">
        <v>74</v>
      </c>
      <c r="Y78" s="5" t="s">
        <v>75</v>
      </c>
    </row>
    <row r="79" customFormat="false" ht="494" hidden="false" customHeight="false" outlineLevel="0" collapsed="false">
      <c r="A79" s="5" t="n">
        <v>78</v>
      </c>
      <c r="B79" s="5" t="s">
        <v>645</v>
      </c>
      <c r="C79" s="5" t="s">
        <v>645</v>
      </c>
      <c r="D79" s="5" t="s">
        <v>41</v>
      </c>
      <c r="E79" s="5" t="s">
        <v>42</v>
      </c>
      <c r="F79" s="5" t="n">
        <v>100</v>
      </c>
      <c r="G79" s="5" t="s">
        <v>378</v>
      </c>
      <c r="H79" s="5"/>
      <c r="I79" s="5" t="s">
        <v>657</v>
      </c>
      <c r="J79" s="5" t="s">
        <v>658</v>
      </c>
      <c r="K79" s="5" t="s">
        <v>659</v>
      </c>
      <c r="L79" s="5" t="s">
        <v>660</v>
      </c>
      <c r="M79" s="5"/>
      <c r="N79" s="5" t="s">
        <v>660</v>
      </c>
      <c r="O79" s="5"/>
      <c r="P79" s="5" t="s">
        <v>661</v>
      </c>
      <c r="Q79" s="6"/>
      <c r="R79" s="6" t="s">
        <v>384</v>
      </c>
      <c r="S79" s="6" t="s">
        <v>384</v>
      </c>
      <c r="T79" s="6" t="s">
        <v>384</v>
      </c>
      <c r="U79" s="6" t="s">
        <v>384</v>
      </c>
      <c r="V79" s="6"/>
      <c r="W79" s="5" t="s">
        <v>662</v>
      </c>
      <c r="X79" s="5" t="s">
        <v>638</v>
      </c>
      <c r="Y79" s="5" t="s">
        <v>639</v>
      </c>
    </row>
    <row r="80" customFormat="false" ht="158.2" hidden="false" customHeight="false" outlineLevel="0" collapsed="false">
      <c r="A80" s="5" t="n">
        <v>79</v>
      </c>
      <c r="B80" s="5" t="s">
        <v>645</v>
      </c>
      <c r="C80" s="5" t="s">
        <v>645</v>
      </c>
      <c r="D80" s="5" t="s">
        <v>41</v>
      </c>
      <c r="E80" s="5" t="s">
        <v>42</v>
      </c>
      <c r="F80" s="5" t="n">
        <v>100</v>
      </c>
      <c r="G80" s="5" t="s">
        <v>388</v>
      </c>
      <c r="H80" s="5"/>
      <c r="I80" s="5" t="s">
        <v>663</v>
      </c>
      <c r="J80" s="5" t="s">
        <v>664</v>
      </c>
      <c r="K80" s="5"/>
      <c r="L80" s="5" t="s">
        <v>665</v>
      </c>
      <c r="M80" s="5"/>
      <c r="N80" s="5" t="s">
        <v>665</v>
      </c>
      <c r="O80" s="5"/>
      <c r="P80" s="5" t="s">
        <v>666</v>
      </c>
      <c r="Q80" s="6"/>
      <c r="R80" s="6" t="s">
        <v>384</v>
      </c>
      <c r="S80" s="6" t="s">
        <v>384</v>
      </c>
      <c r="T80" s="6" t="s">
        <v>384</v>
      </c>
      <c r="U80" s="6" t="s">
        <v>384</v>
      </c>
      <c r="V80" s="6"/>
      <c r="W80" s="5" t="s">
        <v>667</v>
      </c>
      <c r="X80" s="5" t="s">
        <v>668</v>
      </c>
      <c r="Y80" s="5" t="s">
        <v>669</v>
      </c>
    </row>
    <row r="81" customFormat="false" ht="214.15" hidden="false" customHeight="false" outlineLevel="0" collapsed="false">
      <c r="A81" s="5" t="n">
        <v>80</v>
      </c>
      <c r="B81" s="5" t="s">
        <v>645</v>
      </c>
      <c r="C81" s="5" t="s">
        <v>645</v>
      </c>
      <c r="D81" s="5" t="s">
        <v>41</v>
      </c>
      <c r="E81" s="5" t="s">
        <v>42</v>
      </c>
      <c r="F81" s="5" t="n">
        <v>100</v>
      </c>
      <c r="G81" s="5" t="s">
        <v>388</v>
      </c>
      <c r="H81" s="5"/>
      <c r="I81" s="5" t="s">
        <v>670</v>
      </c>
      <c r="J81" s="5" t="s">
        <v>671</v>
      </c>
      <c r="K81" s="5"/>
      <c r="L81" s="5" t="s">
        <v>670</v>
      </c>
      <c r="M81" s="5"/>
      <c r="N81" s="5" t="s">
        <v>670</v>
      </c>
      <c r="O81" s="5"/>
      <c r="P81" s="5" t="s">
        <v>672</v>
      </c>
      <c r="Q81" s="6"/>
      <c r="R81" s="6" t="s">
        <v>384</v>
      </c>
      <c r="S81" s="6" t="s">
        <v>384</v>
      </c>
      <c r="T81" s="6" t="s">
        <v>384</v>
      </c>
      <c r="U81" s="6" t="s">
        <v>384</v>
      </c>
      <c r="V81" s="6"/>
      <c r="W81" s="5" t="s">
        <v>673</v>
      </c>
      <c r="X81" s="5" t="s">
        <v>674</v>
      </c>
      <c r="Y81" s="5" t="s">
        <v>675</v>
      </c>
    </row>
    <row r="82" customFormat="false" ht="303.7" hidden="false" customHeight="false" outlineLevel="0" collapsed="false">
      <c r="A82" s="5" t="n">
        <v>81</v>
      </c>
      <c r="B82" s="5" t="s">
        <v>676</v>
      </c>
      <c r="C82" s="5" t="s">
        <v>676</v>
      </c>
      <c r="D82" s="5" t="s">
        <v>521</v>
      </c>
      <c r="E82" s="5" t="s">
        <v>93</v>
      </c>
      <c r="F82" s="5" t="n">
        <v>99.5</v>
      </c>
      <c r="G82" s="5" t="s">
        <v>402</v>
      </c>
      <c r="H82" s="5"/>
      <c r="I82" s="5" t="s">
        <v>677</v>
      </c>
      <c r="J82" s="5" t="s">
        <v>678</v>
      </c>
      <c r="K82" s="5"/>
      <c r="L82" s="5" t="s">
        <v>679</v>
      </c>
      <c r="M82" s="5" t="s">
        <v>680</v>
      </c>
      <c r="N82" s="5" t="s">
        <v>679</v>
      </c>
      <c r="O82" s="5"/>
      <c r="P82" s="5" t="s">
        <v>681</v>
      </c>
      <c r="Q82" s="6"/>
      <c r="R82" s="6" t="s">
        <v>384</v>
      </c>
      <c r="S82" s="6" t="s">
        <v>384</v>
      </c>
      <c r="T82" s="6" t="s">
        <v>384</v>
      </c>
      <c r="U82" s="6" t="s">
        <v>384</v>
      </c>
      <c r="V82" s="6"/>
      <c r="W82" s="5" t="s">
        <v>682</v>
      </c>
      <c r="X82" s="5" t="s">
        <v>683</v>
      </c>
      <c r="Y82" s="5" t="s">
        <v>684</v>
      </c>
    </row>
    <row r="83" customFormat="false" ht="382.05" hidden="false" customHeight="false" outlineLevel="0" collapsed="false">
      <c r="A83" s="5" t="n">
        <v>82</v>
      </c>
      <c r="B83" s="5" t="s">
        <v>676</v>
      </c>
      <c r="C83" s="5" t="s">
        <v>676</v>
      </c>
      <c r="D83" s="5" t="s">
        <v>521</v>
      </c>
      <c r="E83" s="5" t="s">
        <v>522</v>
      </c>
      <c r="F83" s="5" t="n">
        <v>100</v>
      </c>
      <c r="G83" s="5" t="s">
        <v>388</v>
      </c>
      <c r="H83" s="5"/>
      <c r="I83" s="5" t="s">
        <v>685</v>
      </c>
      <c r="J83" s="5" t="s">
        <v>686</v>
      </c>
      <c r="K83" s="5" t="s">
        <v>687</v>
      </c>
      <c r="L83" s="5" t="s">
        <v>685</v>
      </c>
      <c r="M83" s="5" t="s">
        <v>688</v>
      </c>
      <c r="N83" s="5" t="s">
        <v>685</v>
      </c>
      <c r="O83" s="5"/>
      <c r="P83" s="5" t="s">
        <v>689</v>
      </c>
      <c r="Q83" s="6"/>
      <c r="R83" s="6" t="s">
        <v>384</v>
      </c>
      <c r="S83" s="6" t="s">
        <v>384</v>
      </c>
      <c r="T83" s="6" t="s">
        <v>384</v>
      </c>
      <c r="U83" s="6" t="s">
        <v>384</v>
      </c>
      <c r="V83" s="6"/>
      <c r="W83" s="5" t="s">
        <v>690</v>
      </c>
      <c r="X83" s="5" t="s">
        <v>691</v>
      </c>
      <c r="Y83" s="5" t="s">
        <v>692</v>
      </c>
    </row>
    <row r="84" customFormat="false" ht="225.35" hidden="false" customHeight="false" outlineLevel="0" collapsed="false">
      <c r="A84" s="5" t="n">
        <v>83</v>
      </c>
      <c r="B84" s="5" t="s">
        <v>676</v>
      </c>
      <c r="C84" s="5" t="s">
        <v>676</v>
      </c>
      <c r="D84" s="5" t="s">
        <v>521</v>
      </c>
      <c r="E84" s="5" t="s">
        <v>522</v>
      </c>
      <c r="F84" s="5" t="n">
        <v>100</v>
      </c>
      <c r="G84" s="5" t="s">
        <v>402</v>
      </c>
      <c r="H84" s="5"/>
      <c r="I84" s="5" t="s">
        <v>693</v>
      </c>
      <c r="J84" s="5" t="s">
        <v>694</v>
      </c>
      <c r="K84" s="5" t="s">
        <v>695</v>
      </c>
      <c r="L84" s="5" t="s">
        <v>696</v>
      </c>
      <c r="M84" s="5"/>
      <c r="N84" s="5" t="s">
        <v>696</v>
      </c>
      <c r="O84" s="5"/>
      <c r="P84" s="5" t="s">
        <v>697</v>
      </c>
      <c r="Q84" s="6"/>
      <c r="R84" s="6" t="s">
        <v>384</v>
      </c>
      <c r="S84" s="6" t="s">
        <v>384</v>
      </c>
      <c r="T84" s="6" t="s">
        <v>384</v>
      </c>
      <c r="U84" s="6" t="s">
        <v>384</v>
      </c>
      <c r="V84" s="6"/>
      <c r="W84" s="5" t="s">
        <v>698</v>
      </c>
      <c r="X84" s="5" t="s">
        <v>437</v>
      </c>
      <c r="Y84" s="5" t="s">
        <v>438</v>
      </c>
    </row>
    <row r="85" customFormat="false" ht="180.55" hidden="false" customHeight="false" outlineLevel="0" collapsed="false">
      <c r="A85" s="5" t="n">
        <v>84</v>
      </c>
      <c r="B85" s="5" t="s">
        <v>676</v>
      </c>
      <c r="C85" s="5" t="s">
        <v>676</v>
      </c>
      <c r="D85" s="5" t="s">
        <v>521</v>
      </c>
      <c r="E85" s="5" t="s">
        <v>522</v>
      </c>
      <c r="F85" s="5" t="n">
        <v>100</v>
      </c>
      <c r="G85" s="5" t="s">
        <v>402</v>
      </c>
      <c r="H85" s="5"/>
      <c r="I85" s="5" t="s">
        <v>699</v>
      </c>
      <c r="J85" s="5" t="s">
        <v>700</v>
      </c>
      <c r="K85" s="5" t="s">
        <v>701</v>
      </c>
      <c r="L85" s="5" t="s">
        <v>702</v>
      </c>
      <c r="M85" s="5"/>
      <c r="N85" s="5" t="s">
        <v>702</v>
      </c>
      <c r="O85" s="5"/>
      <c r="P85" s="5" t="s">
        <v>703</v>
      </c>
      <c r="Q85" s="6"/>
      <c r="R85" s="6" t="s">
        <v>384</v>
      </c>
      <c r="S85" s="6" t="s">
        <v>384</v>
      </c>
      <c r="T85" s="6" t="s">
        <v>384</v>
      </c>
      <c r="U85" s="6" t="s">
        <v>384</v>
      </c>
      <c r="V85" s="6"/>
      <c r="W85" s="5" t="s">
        <v>704</v>
      </c>
      <c r="X85" s="5" t="s">
        <v>705</v>
      </c>
      <c r="Y85" s="5" t="s">
        <v>706</v>
      </c>
    </row>
    <row r="86" customFormat="false" ht="561.15" hidden="false" customHeight="false" outlineLevel="0" collapsed="false">
      <c r="A86" s="5" t="n">
        <v>85</v>
      </c>
      <c r="B86" s="5" t="s">
        <v>676</v>
      </c>
      <c r="C86" s="5" t="s">
        <v>676</v>
      </c>
      <c r="D86" s="5" t="s">
        <v>521</v>
      </c>
      <c r="E86" s="5" t="s">
        <v>522</v>
      </c>
      <c r="F86" s="5" t="n">
        <v>100</v>
      </c>
      <c r="G86" s="5" t="s">
        <v>388</v>
      </c>
      <c r="H86" s="5"/>
      <c r="I86" s="5" t="s">
        <v>707</v>
      </c>
      <c r="J86" s="5" t="s">
        <v>708</v>
      </c>
      <c r="K86" s="5" t="s">
        <v>709</v>
      </c>
      <c r="L86" s="5" t="s">
        <v>710</v>
      </c>
      <c r="M86" s="5" t="s">
        <v>711</v>
      </c>
      <c r="N86" s="5" t="s">
        <v>710</v>
      </c>
      <c r="O86" s="5"/>
      <c r="P86" s="5" t="s">
        <v>712</v>
      </c>
      <c r="Q86" s="6"/>
      <c r="R86" s="6" t="s">
        <v>384</v>
      </c>
      <c r="S86" s="6" t="s">
        <v>384</v>
      </c>
      <c r="T86" s="6" t="s">
        <v>384</v>
      </c>
      <c r="U86" s="6" t="s">
        <v>384</v>
      </c>
      <c r="V86" s="6"/>
      <c r="W86" s="5" t="s">
        <v>713</v>
      </c>
      <c r="X86" s="5" t="s">
        <v>714</v>
      </c>
      <c r="Y86" s="5" t="s">
        <v>715</v>
      </c>
    </row>
    <row r="87" customFormat="false" ht="247.75" hidden="false" customHeight="false" outlineLevel="0" collapsed="false">
      <c r="A87" s="5" t="n">
        <v>86</v>
      </c>
      <c r="B87" s="5" t="s">
        <v>716</v>
      </c>
      <c r="C87" s="5" t="s">
        <v>520</v>
      </c>
      <c r="D87" s="5" t="s">
        <v>521</v>
      </c>
      <c r="E87" s="5" t="s">
        <v>42</v>
      </c>
      <c r="F87" s="5" t="n">
        <v>100</v>
      </c>
      <c r="G87" s="5" t="s">
        <v>388</v>
      </c>
      <c r="H87" s="5"/>
      <c r="I87" s="5" t="s">
        <v>717</v>
      </c>
      <c r="J87" s="5" t="s">
        <v>718</v>
      </c>
      <c r="K87" s="5" t="s">
        <v>562</v>
      </c>
      <c r="L87" s="5" t="s">
        <v>719</v>
      </c>
      <c r="M87" s="5"/>
      <c r="N87" s="5" t="s">
        <v>720</v>
      </c>
      <c r="O87" s="5"/>
      <c r="P87" s="5" t="s">
        <v>721</v>
      </c>
      <c r="Q87" s="6"/>
      <c r="R87" s="6"/>
      <c r="S87" s="6"/>
      <c r="T87" s="6"/>
      <c r="U87" s="6"/>
      <c r="V87" s="6"/>
      <c r="W87" s="5" t="s">
        <v>722</v>
      </c>
      <c r="X87" s="5" t="s">
        <v>258</v>
      </c>
      <c r="Y87" s="5" t="s">
        <v>259</v>
      </c>
    </row>
    <row r="88" customFormat="false" ht="236.55" hidden="false" customHeight="false" outlineLevel="0" collapsed="false">
      <c r="A88" s="5" t="n">
        <v>87</v>
      </c>
      <c r="B88" s="5" t="s">
        <v>716</v>
      </c>
      <c r="C88" s="5" t="s">
        <v>520</v>
      </c>
      <c r="D88" s="5" t="s">
        <v>521</v>
      </c>
      <c r="E88" s="5" t="s">
        <v>522</v>
      </c>
      <c r="F88" s="5" t="n">
        <v>100</v>
      </c>
      <c r="G88" s="5" t="s">
        <v>388</v>
      </c>
      <c r="H88" s="5"/>
      <c r="I88" s="5" t="s">
        <v>723</v>
      </c>
      <c r="J88" s="5" t="s">
        <v>724</v>
      </c>
      <c r="K88" s="5" t="s">
        <v>725</v>
      </c>
      <c r="L88" s="5" t="s">
        <v>726</v>
      </c>
      <c r="M88" s="5" t="s">
        <v>727</v>
      </c>
      <c r="N88" s="5" t="s">
        <v>728</v>
      </c>
      <c r="O88" s="5"/>
      <c r="P88" s="5" t="s">
        <v>729</v>
      </c>
      <c r="Q88" s="6"/>
      <c r="R88" s="6"/>
      <c r="S88" s="6"/>
      <c r="T88" s="6"/>
      <c r="U88" s="6"/>
      <c r="V88" s="6"/>
      <c r="W88" s="5" t="s">
        <v>730</v>
      </c>
      <c r="X88" s="5" t="s">
        <v>731</v>
      </c>
      <c r="Y88" s="5" t="s">
        <v>732</v>
      </c>
    </row>
    <row r="89" customFormat="false" ht="292.5" hidden="false" customHeight="false" outlineLevel="0" collapsed="false">
      <c r="A89" s="5" t="n">
        <v>88</v>
      </c>
      <c r="B89" s="5" t="s">
        <v>716</v>
      </c>
      <c r="C89" s="5" t="s">
        <v>520</v>
      </c>
      <c r="D89" s="5" t="s">
        <v>521</v>
      </c>
      <c r="E89" s="5" t="s">
        <v>93</v>
      </c>
      <c r="F89" s="5" t="n">
        <v>95.3</v>
      </c>
      <c r="G89" s="5" t="s">
        <v>388</v>
      </c>
      <c r="H89" s="5" t="n">
        <v>14</v>
      </c>
      <c r="I89" s="5" t="s">
        <v>733</v>
      </c>
      <c r="J89" s="5" t="s">
        <v>734</v>
      </c>
      <c r="K89" s="5" t="s">
        <v>735</v>
      </c>
      <c r="L89" s="5" t="s">
        <v>736</v>
      </c>
      <c r="M89" s="5" t="s">
        <v>737</v>
      </c>
      <c r="N89" s="5" t="s">
        <v>738</v>
      </c>
      <c r="O89" s="5"/>
      <c r="P89" s="5" t="s">
        <v>739</v>
      </c>
      <c r="Q89" s="6"/>
      <c r="R89" s="6"/>
      <c r="S89" s="6"/>
      <c r="T89" s="6"/>
      <c r="U89" s="6"/>
      <c r="V89" s="6"/>
      <c r="W89" s="5" t="s">
        <v>740</v>
      </c>
      <c r="X89" s="5" t="s">
        <v>741</v>
      </c>
      <c r="Y89" s="5" t="s">
        <v>742</v>
      </c>
    </row>
    <row r="90" customFormat="false" ht="102.2" hidden="false" customHeight="false" outlineLevel="0" collapsed="false">
      <c r="A90" s="5" t="n">
        <v>89</v>
      </c>
      <c r="B90" s="5" t="s">
        <v>716</v>
      </c>
      <c r="C90" s="5" t="s">
        <v>520</v>
      </c>
      <c r="D90" s="5" t="s">
        <v>521</v>
      </c>
      <c r="E90" s="5" t="s">
        <v>522</v>
      </c>
      <c r="F90" s="5" t="n">
        <v>100</v>
      </c>
      <c r="G90" s="5" t="s">
        <v>402</v>
      </c>
      <c r="H90" s="5"/>
      <c r="I90" s="5" t="s">
        <v>743</v>
      </c>
      <c r="J90" s="5" t="s">
        <v>744</v>
      </c>
      <c r="K90" s="5" t="s">
        <v>745</v>
      </c>
      <c r="L90" s="5" t="s">
        <v>746</v>
      </c>
      <c r="M90" s="5"/>
      <c r="N90" s="5" t="s">
        <v>746</v>
      </c>
      <c r="O90" s="5"/>
      <c r="P90" s="5" t="s">
        <v>747</v>
      </c>
      <c r="Q90" s="6"/>
      <c r="R90" s="6"/>
      <c r="S90" s="6"/>
      <c r="T90" s="6"/>
      <c r="U90" s="6"/>
      <c r="V90" s="6"/>
      <c r="W90" s="5" t="s">
        <v>748</v>
      </c>
      <c r="X90" s="5" t="s">
        <v>144</v>
      </c>
      <c r="Y90" s="5" t="s">
        <v>145</v>
      </c>
    </row>
    <row r="91" customFormat="false" ht="236.55" hidden="false" customHeight="false" outlineLevel="0" collapsed="false">
      <c r="A91" s="5" t="n">
        <v>90</v>
      </c>
      <c r="B91" s="5" t="s">
        <v>716</v>
      </c>
      <c r="C91" s="5" t="s">
        <v>520</v>
      </c>
      <c r="D91" s="5" t="s">
        <v>521</v>
      </c>
      <c r="E91" s="5" t="s">
        <v>522</v>
      </c>
      <c r="F91" s="5" t="n">
        <v>100</v>
      </c>
      <c r="G91" s="5" t="s">
        <v>388</v>
      </c>
      <c r="H91" s="5" t="n">
        <v>124</v>
      </c>
      <c r="I91" s="5" t="s">
        <v>749</v>
      </c>
      <c r="J91" s="5" t="s">
        <v>750</v>
      </c>
      <c r="K91" s="5" t="s">
        <v>751</v>
      </c>
      <c r="L91" s="5" t="s">
        <v>752</v>
      </c>
      <c r="M91" s="5" t="s">
        <v>753</v>
      </c>
      <c r="N91" s="5" t="s">
        <v>754</v>
      </c>
      <c r="O91" s="5"/>
      <c r="P91" s="5" t="s">
        <v>755</v>
      </c>
      <c r="Q91" s="6"/>
      <c r="R91" s="6"/>
      <c r="S91" s="6"/>
      <c r="T91" s="6"/>
      <c r="U91" s="6"/>
      <c r="V91" s="6"/>
      <c r="W91" s="5" t="s">
        <v>756</v>
      </c>
      <c r="X91" s="5" t="s">
        <v>731</v>
      </c>
      <c r="Y91" s="5" t="s">
        <v>732</v>
      </c>
    </row>
    <row r="92" customFormat="false" ht="225.35" hidden="false" customHeight="false" outlineLevel="0" collapsed="false">
      <c r="A92" s="5" t="n">
        <v>91</v>
      </c>
      <c r="B92" s="5" t="s">
        <v>716</v>
      </c>
      <c r="C92" s="5" t="s">
        <v>520</v>
      </c>
      <c r="D92" s="5" t="s">
        <v>521</v>
      </c>
      <c r="E92" s="5" t="s">
        <v>522</v>
      </c>
      <c r="F92" s="5" t="n">
        <v>100</v>
      </c>
      <c r="G92" s="5" t="s">
        <v>388</v>
      </c>
      <c r="H92" s="5" t="n">
        <v>2</v>
      </c>
      <c r="I92" s="5" t="s">
        <v>757</v>
      </c>
      <c r="J92" s="5" t="s">
        <v>758</v>
      </c>
      <c r="K92" s="5" t="s">
        <v>759</v>
      </c>
      <c r="L92" s="5" t="s">
        <v>760</v>
      </c>
      <c r="M92" s="5" t="s">
        <v>761</v>
      </c>
      <c r="N92" s="5" t="s">
        <v>762</v>
      </c>
      <c r="O92" s="5"/>
      <c r="P92" s="5" t="s">
        <v>763</v>
      </c>
      <c r="Q92" s="6"/>
      <c r="R92" s="6"/>
      <c r="S92" s="6"/>
      <c r="T92" s="6"/>
      <c r="U92" s="6"/>
      <c r="V92" s="6"/>
      <c r="W92" s="5" t="s">
        <v>764</v>
      </c>
      <c r="X92" s="5" t="s">
        <v>765</v>
      </c>
      <c r="Y92" s="5" t="s">
        <v>766</v>
      </c>
    </row>
    <row r="93" customFormat="false" ht="214.15" hidden="false" customHeight="false" outlineLevel="0" collapsed="false">
      <c r="A93" s="5" t="n">
        <v>92</v>
      </c>
      <c r="B93" s="5" t="s">
        <v>716</v>
      </c>
      <c r="C93" s="5" t="s">
        <v>520</v>
      </c>
      <c r="D93" s="5" t="s">
        <v>521</v>
      </c>
      <c r="E93" s="5" t="s">
        <v>522</v>
      </c>
      <c r="F93" s="5" t="n">
        <v>100</v>
      </c>
      <c r="G93" s="5" t="s">
        <v>402</v>
      </c>
      <c r="H93" s="5"/>
      <c r="I93" s="5" t="s">
        <v>767</v>
      </c>
      <c r="J93" s="5" t="s">
        <v>768</v>
      </c>
      <c r="K93" s="5" t="s">
        <v>769</v>
      </c>
      <c r="L93" s="5" t="s">
        <v>770</v>
      </c>
      <c r="M93" s="5" t="s">
        <v>771</v>
      </c>
      <c r="N93" s="5" t="s">
        <v>770</v>
      </c>
      <c r="O93" s="5"/>
      <c r="P93" s="5" t="s">
        <v>772</v>
      </c>
      <c r="Q93" s="6"/>
      <c r="R93" s="6"/>
      <c r="S93" s="6"/>
      <c r="T93" s="6"/>
      <c r="U93" s="6"/>
      <c r="V93" s="6"/>
      <c r="W93" s="5" t="s">
        <v>773</v>
      </c>
      <c r="X93" s="5" t="s">
        <v>144</v>
      </c>
      <c r="Y93" s="5" t="s">
        <v>145</v>
      </c>
    </row>
    <row r="94" customFormat="false" ht="191.75" hidden="false" customHeight="false" outlineLevel="0" collapsed="false">
      <c r="A94" s="5" t="n">
        <v>93</v>
      </c>
      <c r="B94" s="5" t="s">
        <v>716</v>
      </c>
      <c r="C94" s="5" t="s">
        <v>520</v>
      </c>
      <c r="D94" s="5" t="s">
        <v>521</v>
      </c>
      <c r="E94" s="5" t="s">
        <v>522</v>
      </c>
      <c r="F94" s="5" t="n">
        <v>100</v>
      </c>
      <c r="G94" s="5" t="s">
        <v>388</v>
      </c>
      <c r="H94" s="5" t="n">
        <v>19</v>
      </c>
      <c r="I94" s="5" t="s">
        <v>774</v>
      </c>
      <c r="J94" s="5" t="s">
        <v>775</v>
      </c>
      <c r="K94" s="5" t="s">
        <v>776</v>
      </c>
      <c r="L94" s="5" t="s">
        <v>777</v>
      </c>
      <c r="M94" s="5" t="s">
        <v>778</v>
      </c>
      <c r="N94" s="5" t="s">
        <v>779</v>
      </c>
      <c r="O94" s="5"/>
      <c r="P94" s="5" t="s">
        <v>780</v>
      </c>
      <c r="Q94" s="6"/>
      <c r="R94" s="6"/>
      <c r="S94" s="6"/>
      <c r="T94" s="6"/>
      <c r="U94" s="6"/>
      <c r="V94" s="6"/>
      <c r="W94" s="5" t="s">
        <v>781</v>
      </c>
      <c r="X94" s="5" t="s">
        <v>731</v>
      </c>
      <c r="Y94" s="5" t="s">
        <v>732</v>
      </c>
    </row>
    <row r="95" customFormat="false" ht="1165.65" hidden="false" customHeight="false" outlineLevel="0" collapsed="false">
      <c r="A95" s="5" t="n">
        <v>94</v>
      </c>
      <c r="B95" s="5" t="s">
        <v>716</v>
      </c>
      <c r="C95" s="5" t="s">
        <v>520</v>
      </c>
      <c r="D95" s="5" t="s">
        <v>521</v>
      </c>
      <c r="E95" s="5" t="s">
        <v>782</v>
      </c>
      <c r="F95" s="5" t="n">
        <v>100</v>
      </c>
      <c r="G95" s="5" t="s">
        <v>43</v>
      </c>
      <c r="H95" s="5" t="n">
        <v>8</v>
      </c>
      <c r="I95" s="5" t="s">
        <v>783</v>
      </c>
      <c r="J95" s="5" t="s">
        <v>784</v>
      </c>
      <c r="K95" s="5" t="s">
        <v>785</v>
      </c>
      <c r="L95" s="5" t="s">
        <v>786</v>
      </c>
      <c r="M95" s="5" t="s">
        <v>787</v>
      </c>
      <c r="N95" s="5" t="s">
        <v>788</v>
      </c>
      <c r="O95" s="5"/>
      <c r="P95" s="5" t="s">
        <v>789</v>
      </c>
      <c r="Q95" s="6"/>
      <c r="R95" s="6"/>
      <c r="S95" s="6"/>
      <c r="T95" s="6"/>
      <c r="U95" s="6"/>
      <c r="V95" s="6"/>
      <c r="W95" s="5" t="s">
        <v>790</v>
      </c>
      <c r="X95" s="5" t="s">
        <v>791</v>
      </c>
      <c r="Y95" s="5" t="s">
        <v>792</v>
      </c>
    </row>
    <row r="96" customFormat="false" ht="202.95" hidden="false" customHeight="false" outlineLevel="0" collapsed="false">
      <c r="A96" s="5" t="n">
        <v>95</v>
      </c>
      <c r="B96" s="5" t="s">
        <v>716</v>
      </c>
      <c r="C96" s="5" t="s">
        <v>520</v>
      </c>
      <c r="D96" s="5" t="s">
        <v>521</v>
      </c>
      <c r="E96" s="5" t="s">
        <v>522</v>
      </c>
      <c r="F96" s="5" t="n">
        <v>100</v>
      </c>
      <c r="G96" s="5" t="s">
        <v>43</v>
      </c>
      <c r="H96" s="5" t="n">
        <v>5</v>
      </c>
      <c r="I96" s="5" t="s">
        <v>793</v>
      </c>
      <c r="J96" s="5" t="s">
        <v>794</v>
      </c>
      <c r="K96" s="5" t="s">
        <v>795</v>
      </c>
      <c r="L96" s="5" t="s">
        <v>796</v>
      </c>
      <c r="M96" s="5" t="s">
        <v>797</v>
      </c>
      <c r="N96" s="5" t="s">
        <v>798</v>
      </c>
      <c r="O96" s="5"/>
      <c r="P96" s="5" t="s">
        <v>799</v>
      </c>
      <c r="Q96" s="6"/>
      <c r="R96" s="6"/>
      <c r="S96" s="6"/>
      <c r="T96" s="6"/>
      <c r="U96" s="6"/>
      <c r="V96" s="6"/>
      <c r="W96" s="5" t="s">
        <v>800</v>
      </c>
      <c r="X96" s="5" t="s">
        <v>801</v>
      </c>
      <c r="Y96" s="5" t="s">
        <v>802</v>
      </c>
    </row>
    <row r="97" customFormat="false" ht="303.7" hidden="false" customHeight="false" outlineLevel="0" collapsed="false">
      <c r="A97" s="5" t="n">
        <v>96</v>
      </c>
      <c r="B97" s="5" t="s">
        <v>716</v>
      </c>
      <c r="C97" s="5" t="s">
        <v>520</v>
      </c>
      <c r="D97" s="5" t="s">
        <v>521</v>
      </c>
      <c r="E97" s="5" t="s">
        <v>522</v>
      </c>
      <c r="F97" s="5" t="n">
        <v>100</v>
      </c>
      <c r="G97" s="5" t="s">
        <v>378</v>
      </c>
      <c r="H97" s="5"/>
      <c r="I97" s="5" t="s">
        <v>803</v>
      </c>
      <c r="J97" s="5" t="s">
        <v>804</v>
      </c>
      <c r="K97" s="5" t="s">
        <v>805</v>
      </c>
      <c r="L97" s="5" t="s">
        <v>806</v>
      </c>
      <c r="M97" s="5" t="s">
        <v>807</v>
      </c>
      <c r="N97" s="5" t="s">
        <v>808</v>
      </c>
      <c r="O97" s="5"/>
      <c r="P97" s="5" t="s">
        <v>809</v>
      </c>
      <c r="Q97" s="6"/>
      <c r="R97" s="6"/>
      <c r="S97" s="6"/>
      <c r="T97" s="6"/>
      <c r="U97" s="6"/>
      <c r="V97" s="6"/>
      <c r="W97" s="5" t="s">
        <v>810</v>
      </c>
      <c r="X97" s="5" t="s">
        <v>741</v>
      </c>
      <c r="Y97" s="5" t="s">
        <v>742</v>
      </c>
    </row>
    <row r="98" customFormat="false" ht="258.95" hidden="false" customHeight="false" outlineLevel="0" collapsed="false">
      <c r="A98" s="5" t="n">
        <v>97</v>
      </c>
      <c r="B98" s="5" t="s">
        <v>716</v>
      </c>
      <c r="C98" s="5" t="s">
        <v>520</v>
      </c>
      <c r="D98" s="5" t="s">
        <v>521</v>
      </c>
      <c r="E98" s="5" t="s">
        <v>522</v>
      </c>
      <c r="F98" s="5" t="n">
        <v>100</v>
      </c>
      <c r="G98" s="5" t="s">
        <v>388</v>
      </c>
      <c r="H98" s="5" t="n">
        <v>2</v>
      </c>
      <c r="I98" s="5" t="s">
        <v>811</v>
      </c>
      <c r="J98" s="5" t="s">
        <v>812</v>
      </c>
      <c r="K98" s="5" t="s">
        <v>813</v>
      </c>
      <c r="L98" s="5" t="s">
        <v>814</v>
      </c>
      <c r="M98" s="5" t="s">
        <v>815</v>
      </c>
      <c r="N98" s="5" t="s">
        <v>816</v>
      </c>
      <c r="O98" s="5"/>
      <c r="P98" s="5" t="s">
        <v>817</v>
      </c>
      <c r="Q98" s="6"/>
      <c r="R98" s="6"/>
      <c r="S98" s="6"/>
      <c r="T98" s="6"/>
      <c r="U98" s="6"/>
      <c r="V98" s="6"/>
      <c r="W98" s="5" t="s">
        <v>818</v>
      </c>
      <c r="X98" s="5" t="s">
        <v>819</v>
      </c>
      <c r="Y98" s="5" t="s">
        <v>820</v>
      </c>
    </row>
    <row r="99" customFormat="false" ht="326.1" hidden="false" customHeight="false" outlineLevel="0" collapsed="false">
      <c r="A99" s="5" t="n">
        <v>98</v>
      </c>
      <c r="B99" s="5" t="s">
        <v>716</v>
      </c>
      <c r="C99" s="5" t="s">
        <v>520</v>
      </c>
      <c r="D99" s="5" t="s">
        <v>521</v>
      </c>
      <c r="E99" s="5" t="s">
        <v>522</v>
      </c>
      <c r="F99" s="5" t="n">
        <v>100</v>
      </c>
      <c r="G99" s="5" t="s">
        <v>388</v>
      </c>
      <c r="H99" s="5"/>
      <c r="I99" s="5" t="s">
        <v>821</v>
      </c>
      <c r="J99" s="5" t="s">
        <v>822</v>
      </c>
      <c r="K99" s="5"/>
      <c r="L99" s="5" t="s">
        <v>823</v>
      </c>
      <c r="M99" s="5"/>
      <c r="N99" s="5" t="s">
        <v>823</v>
      </c>
      <c r="O99" s="5"/>
      <c r="P99" s="5" t="s">
        <v>824</v>
      </c>
      <c r="Q99" s="6"/>
      <c r="R99" s="6"/>
      <c r="S99" s="6"/>
      <c r="T99" s="6"/>
      <c r="U99" s="6"/>
      <c r="V99" s="6"/>
      <c r="W99" s="5" t="s">
        <v>825</v>
      </c>
      <c r="X99" s="5" t="s">
        <v>826</v>
      </c>
      <c r="Y99" s="5" t="s">
        <v>827</v>
      </c>
    </row>
    <row r="100" customFormat="false" ht="270.1" hidden="false" customHeight="false" outlineLevel="0" collapsed="false">
      <c r="A100" s="5" t="n">
        <v>99</v>
      </c>
      <c r="B100" s="5" t="s">
        <v>716</v>
      </c>
      <c r="C100" s="5" t="s">
        <v>520</v>
      </c>
      <c r="D100" s="5" t="s">
        <v>521</v>
      </c>
      <c r="E100" s="5" t="s">
        <v>522</v>
      </c>
      <c r="F100" s="5" t="n">
        <v>100</v>
      </c>
      <c r="G100" s="5" t="s">
        <v>388</v>
      </c>
      <c r="H100" s="5"/>
      <c r="I100" s="5" t="s">
        <v>828</v>
      </c>
      <c r="J100" s="5" t="s">
        <v>829</v>
      </c>
      <c r="K100" s="5" t="s">
        <v>830</v>
      </c>
      <c r="L100" s="5" t="s">
        <v>831</v>
      </c>
      <c r="M100" s="5" t="s">
        <v>832</v>
      </c>
      <c r="N100" s="5" t="s">
        <v>833</v>
      </c>
      <c r="O100" s="5"/>
      <c r="P100" s="5" t="s">
        <v>834</v>
      </c>
      <c r="Q100" s="6"/>
      <c r="R100" s="6"/>
      <c r="S100" s="6"/>
      <c r="T100" s="6"/>
      <c r="U100" s="6"/>
      <c r="V100" s="6"/>
      <c r="W100" s="5" t="s">
        <v>835</v>
      </c>
      <c r="X100" s="5" t="s">
        <v>731</v>
      </c>
      <c r="Y100" s="5" t="s">
        <v>732</v>
      </c>
    </row>
    <row r="101" customFormat="false" ht="202.95" hidden="false" customHeight="false" outlineLevel="0" collapsed="false">
      <c r="A101" s="5" t="n">
        <v>100</v>
      </c>
      <c r="B101" s="5" t="s">
        <v>716</v>
      </c>
      <c r="C101" s="5" t="s">
        <v>520</v>
      </c>
      <c r="D101" s="5" t="s">
        <v>521</v>
      </c>
      <c r="E101" s="5" t="s">
        <v>522</v>
      </c>
      <c r="F101" s="5" t="n">
        <v>100</v>
      </c>
      <c r="G101" s="5" t="s">
        <v>388</v>
      </c>
      <c r="H101" s="5" t="n">
        <v>30</v>
      </c>
      <c r="I101" s="5" t="s">
        <v>836</v>
      </c>
      <c r="J101" s="5" t="s">
        <v>837</v>
      </c>
      <c r="K101" s="5" t="s">
        <v>838</v>
      </c>
      <c r="L101" s="5" t="s">
        <v>839</v>
      </c>
      <c r="M101" s="5" t="s">
        <v>840</v>
      </c>
      <c r="N101" s="5" t="s">
        <v>841</v>
      </c>
      <c r="O101" s="5"/>
      <c r="P101" s="5" t="s">
        <v>842</v>
      </c>
      <c r="Q101" s="6"/>
      <c r="R101" s="6"/>
      <c r="S101" s="6"/>
      <c r="T101" s="6"/>
      <c r="U101" s="6"/>
      <c r="V101" s="6"/>
      <c r="W101" s="5" t="s">
        <v>843</v>
      </c>
      <c r="X101" s="5" t="s">
        <v>844</v>
      </c>
      <c r="Y101" s="5" t="s">
        <v>845</v>
      </c>
    </row>
    <row r="102" customFormat="false" ht="393.25" hidden="false" customHeight="false" outlineLevel="0" collapsed="false">
      <c r="A102" s="5" t="n">
        <v>101</v>
      </c>
      <c r="B102" s="5" t="s">
        <v>846</v>
      </c>
      <c r="C102" s="5" t="s">
        <v>520</v>
      </c>
      <c r="D102" s="5" t="s">
        <v>521</v>
      </c>
      <c r="E102" s="5" t="s">
        <v>522</v>
      </c>
      <c r="F102" s="5" t="n">
        <v>100</v>
      </c>
      <c r="G102" s="5" t="s">
        <v>378</v>
      </c>
      <c r="H102" s="5"/>
      <c r="I102" s="5" t="s">
        <v>847</v>
      </c>
      <c r="J102" s="5" t="s">
        <v>45</v>
      </c>
      <c r="K102" s="5" t="s">
        <v>848</v>
      </c>
      <c r="L102" s="5" t="s">
        <v>849</v>
      </c>
      <c r="M102" s="5"/>
      <c r="N102" s="5" t="s">
        <v>849</v>
      </c>
      <c r="O102" s="5"/>
      <c r="P102" s="5" t="s">
        <v>850</v>
      </c>
      <c r="Q102" s="6"/>
      <c r="R102" s="6"/>
      <c r="S102" s="6"/>
      <c r="T102" s="6"/>
      <c r="U102" s="6"/>
      <c r="V102" s="6"/>
      <c r="W102" s="5" t="s">
        <v>851</v>
      </c>
      <c r="X102" s="5" t="s">
        <v>258</v>
      </c>
      <c r="Y102" s="5" t="s">
        <v>259</v>
      </c>
    </row>
    <row r="103" customFormat="false" ht="1076.1" hidden="false" customHeight="false" outlineLevel="0" collapsed="false">
      <c r="A103" s="5" t="n">
        <v>102</v>
      </c>
      <c r="B103" s="5" t="s">
        <v>846</v>
      </c>
      <c r="C103" s="5" t="s">
        <v>520</v>
      </c>
      <c r="D103" s="5" t="s">
        <v>521</v>
      </c>
      <c r="E103" s="5" t="s">
        <v>93</v>
      </c>
      <c r="F103" s="5" t="n">
        <v>86.6</v>
      </c>
      <c r="G103" s="5" t="s">
        <v>43</v>
      </c>
      <c r="H103" s="5" t="n">
        <v>7</v>
      </c>
      <c r="I103" s="5" t="s">
        <v>852</v>
      </c>
      <c r="J103" s="5" t="s">
        <v>853</v>
      </c>
      <c r="K103" s="5" t="s">
        <v>854</v>
      </c>
      <c r="L103" s="5" t="s">
        <v>855</v>
      </c>
      <c r="M103" s="5" t="s">
        <v>856</v>
      </c>
      <c r="N103" s="5" t="s">
        <v>855</v>
      </c>
      <c r="O103" s="5"/>
      <c r="P103" s="5" t="s">
        <v>857</v>
      </c>
      <c r="Q103" s="6"/>
      <c r="R103" s="6"/>
      <c r="S103" s="6"/>
      <c r="T103" s="6"/>
      <c r="U103" s="6"/>
      <c r="V103" s="6"/>
      <c r="W103" s="5" t="s">
        <v>858</v>
      </c>
      <c r="X103" s="5" t="s">
        <v>859</v>
      </c>
      <c r="Y103" s="5" t="s">
        <v>860</v>
      </c>
    </row>
    <row r="104" customFormat="false" ht="191.75" hidden="false" customHeight="false" outlineLevel="0" collapsed="false">
      <c r="A104" s="5" t="n">
        <v>103</v>
      </c>
      <c r="B104" s="5" t="s">
        <v>846</v>
      </c>
      <c r="C104" s="5" t="s">
        <v>520</v>
      </c>
      <c r="D104" s="5" t="s">
        <v>521</v>
      </c>
      <c r="E104" s="5" t="s">
        <v>522</v>
      </c>
      <c r="F104" s="5" t="n">
        <v>100</v>
      </c>
      <c r="G104" s="5" t="s">
        <v>378</v>
      </c>
      <c r="H104" s="5"/>
      <c r="I104" s="5" t="s">
        <v>861</v>
      </c>
      <c r="J104" s="5" t="s">
        <v>862</v>
      </c>
      <c r="K104" s="5" t="s">
        <v>863</v>
      </c>
      <c r="L104" s="5" t="s">
        <v>864</v>
      </c>
      <c r="M104" s="5" t="s">
        <v>865</v>
      </c>
      <c r="N104" s="5" t="s">
        <v>864</v>
      </c>
      <c r="O104" s="5"/>
      <c r="P104" s="5" t="s">
        <v>866</v>
      </c>
      <c r="Q104" s="6"/>
      <c r="R104" s="6"/>
      <c r="S104" s="6"/>
      <c r="T104" s="6"/>
      <c r="U104" s="6"/>
      <c r="V104" s="6"/>
      <c r="W104" s="5" t="s">
        <v>867</v>
      </c>
      <c r="X104" s="5" t="s">
        <v>868</v>
      </c>
      <c r="Y104" s="5" t="s">
        <v>869</v>
      </c>
    </row>
    <row r="105" customFormat="false" ht="247.75" hidden="false" customHeight="false" outlineLevel="0" collapsed="false">
      <c r="A105" s="5" t="n">
        <v>104</v>
      </c>
      <c r="B105" s="5" t="s">
        <v>846</v>
      </c>
      <c r="C105" s="5" t="s">
        <v>520</v>
      </c>
      <c r="D105" s="5" t="s">
        <v>521</v>
      </c>
      <c r="E105" s="5" t="s">
        <v>522</v>
      </c>
      <c r="F105" s="5" t="n">
        <v>100</v>
      </c>
      <c r="G105" s="5" t="s">
        <v>378</v>
      </c>
      <c r="H105" s="5"/>
      <c r="I105" s="5" t="s">
        <v>870</v>
      </c>
      <c r="J105" s="5" t="s">
        <v>871</v>
      </c>
      <c r="K105" s="5" t="s">
        <v>872</v>
      </c>
      <c r="L105" s="5" t="s">
        <v>873</v>
      </c>
      <c r="M105" s="5" t="s">
        <v>874</v>
      </c>
      <c r="N105" s="5" t="s">
        <v>873</v>
      </c>
      <c r="O105" s="5"/>
      <c r="P105" s="5" t="s">
        <v>875</v>
      </c>
      <c r="Q105" s="6"/>
      <c r="R105" s="6"/>
      <c r="S105" s="6"/>
      <c r="T105" s="6"/>
      <c r="U105" s="6"/>
      <c r="V105" s="6"/>
      <c r="W105" s="5" t="s">
        <v>876</v>
      </c>
      <c r="X105" s="5" t="s">
        <v>877</v>
      </c>
      <c r="Y105" s="5" t="s">
        <v>878</v>
      </c>
    </row>
    <row r="106" customFormat="false" ht="314.9" hidden="false" customHeight="false" outlineLevel="0" collapsed="false">
      <c r="A106" s="5" t="n">
        <v>105</v>
      </c>
      <c r="B106" s="5" t="s">
        <v>846</v>
      </c>
      <c r="C106" s="5" t="s">
        <v>520</v>
      </c>
      <c r="D106" s="5" t="s">
        <v>521</v>
      </c>
      <c r="E106" s="5" t="s">
        <v>782</v>
      </c>
      <c r="F106" s="5" t="n">
        <v>100</v>
      </c>
      <c r="G106" s="5" t="s">
        <v>378</v>
      </c>
      <c r="H106" s="5"/>
      <c r="I106" s="5" t="s">
        <v>879</v>
      </c>
      <c r="J106" s="5" t="s">
        <v>880</v>
      </c>
      <c r="K106" s="5" t="s">
        <v>881</v>
      </c>
      <c r="L106" s="5" t="s">
        <v>882</v>
      </c>
      <c r="M106" s="5" t="s">
        <v>883</v>
      </c>
      <c r="N106" s="5" t="s">
        <v>882</v>
      </c>
      <c r="O106" s="5"/>
      <c r="P106" s="5" t="s">
        <v>884</v>
      </c>
      <c r="Q106" s="6"/>
      <c r="R106" s="6"/>
      <c r="S106" s="6"/>
      <c r="T106" s="6"/>
      <c r="U106" s="6"/>
      <c r="V106" s="6"/>
      <c r="W106" s="5" t="s">
        <v>885</v>
      </c>
      <c r="X106" s="5" t="s">
        <v>886</v>
      </c>
      <c r="Y106" s="5" t="s">
        <v>887</v>
      </c>
    </row>
    <row r="107" customFormat="false" ht="326.1" hidden="false" customHeight="false" outlineLevel="0" collapsed="false">
      <c r="A107" s="5" t="n">
        <v>106</v>
      </c>
      <c r="B107" s="5" t="s">
        <v>846</v>
      </c>
      <c r="C107" s="5" t="s">
        <v>520</v>
      </c>
      <c r="D107" s="5" t="s">
        <v>521</v>
      </c>
      <c r="E107" s="5" t="s">
        <v>522</v>
      </c>
      <c r="F107" s="5" t="n">
        <v>100</v>
      </c>
      <c r="G107" s="5" t="s">
        <v>378</v>
      </c>
      <c r="H107" s="5" t="n">
        <v>0</v>
      </c>
      <c r="I107" s="5" t="s">
        <v>888</v>
      </c>
      <c r="J107" s="5" t="s">
        <v>889</v>
      </c>
      <c r="K107" s="5" t="s">
        <v>890</v>
      </c>
      <c r="L107" s="5" t="s">
        <v>891</v>
      </c>
      <c r="M107" s="5" t="s">
        <v>892</v>
      </c>
      <c r="N107" s="5" t="s">
        <v>891</v>
      </c>
      <c r="O107" s="5"/>
      <c r="P107" s="5" t="s">
        <v>893</v>
      </c>
      <c r="Q107" s="6"/>
      <c r="R107" s="6"/>
      <c r="S107" s="6"/>
      <c r="T107" s="6"/>
      <c r="U107" s="6"/>
      <c r="V107" s="6"/>
      <c r="W107" s="5" t="s">
        <v>894</v>
      </c>
      <c r="X107" s="5" t="s">
        <v>895</v>
      </c>
      <c r="Y107" s="5" t="s">
        <v>896</v>
      </c>
    </row>
    <row r="108" customFormat="false" ht="202.95" hidden="false" customHeight="false" outlineLevel="0" collapsed="false">
      <c r="A108" s="5" t="n">
        <v>107</v>
      </c>
      <c r="B108" s="5" t="s">
        <v>846</v>
      </c>
      <c r="C108" s="5" t="s">
        <v>520</v>
      </c>
      <c r="D108" s="5" t="s">
        <v>521</v>
      </c>
      <c r="E108" s="5" t="s">
        <v>522</v>
      </c>
      <c r="F108" s="5" t="n">
        <v>100</v>
      </c>
      <c r="G108" s="5" t="s">
        <v>378</v>
      </c>
      <c r="H108" s="5"/>
      <c r="I108" s="5" t="s">
        <v>897</v>
      </c>
      <c r="J108" s="5" t="s">
        <v>898</v>
      </c>
      <c r="K108" s="5" t="s">
        <v>899</v>
      </c>
      <c r="L108" s="5" t="s">
        <v>900</v>
      </c>
      <c r="M108" s="5" t="s">
        <v>901</v>
      </c>
      <c r="N108" s="5" t="s">
        <v>900</v>
      </c>
      <c r="O108" s="5"/>
      <c r="P108" s="5" t="s">
        <v>902</v>
      </c>
      <c r="Q108" s="6"/>
      <c r="R108" s="6"/>
      <c r="S108" s="6"/>
      <c r="T108" s="6"/>
      <c r="U108" s="6"/>
      <c r="V108" s="6"/>
      <c r="W108" s="5" t="s">
        <v>903</v>
      </c>
      <c r="X108" s="5" t="s">
        <v>904</v>
      </c>
      <c r="Y108" s="5" t="s">
        <v>905</v>
      </c>
    </row>
    <row r="109" customFormat="false" ht="303.7" hidden="false" customHeight="false" outlineLevel="0" collapsed="false">
      <c r="A109" s="5" t="n">
        <v>108</v>
      </c>
      <c r="B109" s="5" t="s">
        <v>846</v>
      </c>
      <c r="C109" s="5" t="s">
        <v>520</v>
      </c>
      <c r="D109" s="5" t="s">
        <v>521</v>
      </c>
      <c r="E109" s="5" t="s">
        <v>522</v>
      </c>
      <c r="F109" s="5" t="n">
        <v>100</v>
      </c>
      <c r="G109" s="5" t="s">
        <v>378</v>
      </c>
      <c r="H109" s="5"/>
      <c r="I109" s="5" t="s">
        <v>906</v>
      </c>
      <c r="J109" s="5" t="s">
        <v>907</v>
      </c>
      <c r="K109" s="5" t="s">
        <v>908</v>
      </c>
      <c r="L109" s="5" t="s">
        <v>909</v>
      </c>
      <c r="M109" s="5" t="s">
        <v>910</v>
      </c>
      <c r="N109" s="5" t="s">
        <v>909</v>
      </c>
      <c r="O109" s="5"/>
      <c r="P109" s="5" t="s">
        <v>911</v>
      </c>
      <c r="Q109" s="6"/>
      <c r="R109" s="6"/>
      <c r="S109" s="6"/>
      <c r="T109" s="6"/>
      <c r="U109" s="6"/>
      <c r="V109" s="6"/>
      <c r="W109" s="5" t="s">
        <v>912</v>
      </c>
      <c r="X109" s="5" t="s">
        <v>590</v>
      </c>
      <c r="Y109" s="5" t="s">
        <v>591</v>
      </c>
    </row>
    <row r="110" customFormat="false" ht="169.4" hidden="false" customHeight="false" outlineLevel="0" collapsed="false">
      <c r="A110" s="5" t="n">
        <v>109</v>
      </c>
      <c r="B110" s="5" t="s">
        <v>846</v>
      </c>
      <c r="C110" s="5" t="s">
        <v>520</v>
      </c>
      <c r="D110" s="5" t="s">
        <v>521</v>
      </c>
      <c r="E110" s="5" t="s">
        <v>522</v>
      </c>
      <c r="F110" s="5" t="n">
        <v>100</v>
      </c>
      <c r="G110" s="5" t="s">
        <v>378</v>
      </c>
      <c r="H110" s="5"/>
      <c r="I110" s="5" t="s">
        <v>913</v>
      </c>
      <c r="J110" s="5" t="s">
        <v>45</v>
      </c>
      <c r="K110" s="5" t="s">
        <v>914</v>
      </c>
      <c r="L110" s="5" t="s">
        <v>915</v>
      </c>
      <c r="M110" s="5" t="s">
        <v>916</v>
      </c>
      <c r="N110" s="5" t="s">
        <v>915</v>
      </c>
      <c r="O110" s="5"/>
      <c r="P110" s="5" t="s">
        <v>917</v>
      </c>
      <c r="Q110" s="6"/>
      <c r="R110" s="6"/>
      <c r="S110" s="6"/>
      <c r="T110" s="6"/>
      <c r="U110" s="6"/>
      <c r="V110" s="6"/>
      <c r="W110" s="5" t="s">
        <v>918</v>
      </c>
      <c r="X110" s="5" t="s">
        <v>919</v>
      </c>
      <c r="Y110" s="5" t="s">
        <v>920</v>
      </c>
    </row>
    <row r="111" customFormat="false" ht="236.55" hidden="false" customHeight="false" outlineLevel="0" collapsed="false">
      <c r="A111" s="5" t="n">
        <v>110</v>
      </c>
      <c r="B111" s="5" t="s">
        <v>846</v>
      </c>
      <c r="C111" s="5" t="s">
        <v>520</v>
      </c>
      <c r="D111" s="5" t="s">
        <v>521</v>
      </c>
      <c r="E111" s="5" t="s">
        <v>522</v>
      </c>
      <c r="F111" s="5" t="n">
        <v>100</v>
      </c>
      <c r="G111" s="5" t="s">
        <v>378</v>
      </c>
      <c r="H111" s="5"/>
      <c r="I111" s="5" t="s">
        <v>921</v>
      </c>
      <c r="J111" s="5" t="s">
        <v>922</v>
      </c>
      <c r="K111" s="5" t="s">
        <v>923</v>
      </c>
      <c r="L111" s="5" t="s">
        <v>924</v>
      </c>
      <c r="M111" s="5" t="s">
        <v>925</v>
      </c>
      <c r="N111" s="5" t="s">
        <v>924</v>
      </c>
      <c r="O111" s="5"/>
      <c r="P111" s="5" t="s">
        <v>926</v>
      </c>
      <c r="Q111" s="6"/>
      <c r="R111" s="6"/>
      <c r="S111" s="6"/>
      <c r="T111" s="6"/>
      <c r="U111" s="6"/>
      <c r="V111" s="6"/>
      <c r="W111" s="5" t="s">
        <v>927</v>
      </c>
      <c r="X111" s="5" t="s">
        <v>928</v>
      </c>
      <c r="Y111" s="5" t="s">
        <v>929</v>
      </c>
    </row>
    <row r="112" customFormat="false" ht="258.95" hidden="false" customHeight="false" outlineLevel="0" collapsed="false">
      <c r="A112" s="5" t="n">
        <v>111</v>
      </c>
      <c r="B112" s="5" t="s">
        <v>846</v>
      </c>
      <c r="C112" s="5" t="s">
        <v>520</v>
      </c>
      <c r="D112" s="5" t="s">
        <v>521</v>
      </c>
      <c r="E112" s="5" t="s">
        <v>522</v>
      </c>
      <c r="F112" s="5" t="n">
        <v>100</v>
      </c>
      <c r="G112" s="5" t="s">
        <v>378</v>
      </c>
      <c r="H112" s="5" t="n">
        <v>29</v>
      </c>
      <c r="I112" s="5" t="s">
        <v>930</v>
      </c>
      <c r="J112" s="5" t="s">
        <v>931</v>
      </c>
      <c r="K112" s="5" t="s">
        <v>932</v>
      </c>
      <c r="L112" s="5" t="s">
        <v>933</v>
      </c>
      <c r="M112" s="5" t="s">
        <v>934</v>
      </c>
      <c r="N112" s="5" t="s">
        <v>933</v>
      </c>
      <c r="O112" s="5"/>
      <c r="P112" s="5" t="s">
        <v>935</v>
      </c>
      <c r="Q112" s="6"/>
      <c r="R112" s="6"/>
      <c r="S112" s="6"/>
      <c r="T112" s="6"/>
      <c r="U112" s="6"/>
      <c r="V112" s="6"/>
      <c r="W112" s="5" t="s">
        <v>936</v>
      </c>
      <c r="X112" s="5" t="s">
        <v>937</v>
      </c>
      <c r="Y112" s="5" t="s">
        <v>938</v>
      </c>
    </row>
    <row r="113" customFormat="false" ht="214.15" hidden="false" customHeight="false" outlineLevel="0" collapsed="false">
      <c r="A113" s="5" t="n">
        <v>112</v>
      </c>
      <c r="B113" s="5" t="s">
        <v>846</v>
      </c>
      <c r="C113" s="5" t="s">
        <v>520</v>
      </c>
      <c r="D113" s="5" t="s">
        <v>521</v>
      </c>
      <c r="E113" s="5" t="s">
        <v>522</v>
      </c>
      <c r="F113" s="5" t="n">
        <v>100</v>
      </c>
      <c r="G113" s="5" t="s">
        <v>378</v>
      </c>
      <c r="H113" s="5"/>
      <c r="I113" s="5" t="s">
        <v>939</v>
      </c>
      <c r="J113" s="5" t="s">
        <v>940</v>
      </c>
      <c r="K113" s="5" t="s">
        <v>941</v>
      </c>
      <c r="L113" s="5" t="s">
        <v>942</v>
      </c>
      <c r="M113" s="5" t="s">
        <v>943</v>
      </c>
      <c r="N113" s="5" t="s">
        <v>942</v>
      </c>
      <c r="O113" s="5"/>
      <c r="P113" s="5" t="s">
        <v>944</v>
      </c>
      <c r="Q113" s="6"/>
      <c r="R113" s="6"/>
      <c r="S113" s="6"/>
      <c r="T113" s="6"/>
      <c r="U113" s="6"/>
      <c r="V113" s="6"/>
      <c r="W113" s="5" t="s">
        <v>945</v>
      </c>
      <c r="X113" s="5" t="s">
        <v>946</v>
      </c>
      <c r="Y113" s="5" t="s">
        <v>947</v>
      </c>
    </row>
    <row r="114" customFormat="false" ht="773.85" hidden="false" customHeight="false" outlineLevel="0" collapsed="false">
      <c r="A114" s="5" t="n">
        <v>113</v>
      </c>
      <c r="B114" s="5" t="s">
        <v>846</v>
      </c>
      <c r="C114" s="5" t="s">
        <v>520</v>
      </c>
      <c r="D114" s="5" t="s">
        <v>521</v>
      </c>
      <c r="E114" s="5" t="s">
        <v>782</v>
      </c>
      <c r="F114" s="5" t="n">
        <v>100</v>
      </c>
      <c r="G114" s="5" t="s">
        <v>378</v>
      </c>
      <c r="H114" s="5"/>
      <c r="I114" s="5" t="s">
        <v>948</v>
      </c>
      <c r="J114" s="5" t="s">
        <v>949</v>
      </c>
      <c r="K114" s="5" t="s">
        <v>950</v>
      </c>
      <c r="L114" s="5" t="s">
        <v>951</v>
      </c>
      <c r="M114" s="5" t="s">
        <v>952</v>
      </c>
      <c r="N114" s="5" t="s">
        <v>951</v>
      </c>
      <c r="O114" s="5"/>
      <c r="P114" s="5" t="s">
        <v>953</v>
      </c>
      <c r="Q114" s="6"/>
      <c r="R114" s="6"/>
      <c r="S114" s="6"/>
      <c r="T114" s="6"/>
      <c r="U114" s="6"/>
      <c r="V114" s="6"/>
      <c r="W114" s="5" t="s">
        <v>954</v>
      </c>
      <c r="X114" s="5" t="s">
        <v>955</v>
      </c>
      <c r="Y114" s="5" t="s">
        <v>956</v>
      </c>
    </row>
    <row r="115" customFormat="false" ht="270.1" hidden="false" customHeight="false" outlineLevel="0" collapsed="false">
      <c r="A115" s="5" t="n">
        <v>114</v>
      </c>
      <c r="B115" s="5" t="s">
        <v>846</v>
      </c>
      <c r="C115" s="5" t="s">
        <v>520</v>
      </c>
      <c r="D115" s="5" t="s">
        <v>521</v>
      </c>
      <c r="E115" s="5" t="s">
        <v>522</v>
      </c>
      <c r="F115" s="5" t="n">
        <v>100</v>
      </c>
      <c r="G115" s="5" t="s">
        <v>378</v>
      </c>
      <c r="H115" s="5" t="n">
        <v>26</v>
      </c>
      <c r="I115" s="5" t="s">
        <v>957</v>
      </c>
      <c r="J115" s="5" t="s">
        <v>958</v>
      </c>
      <c r="K115" s="5" t="s">
        <v>959</v>
      </c>
      <c r="L115" s="5" t="s">
        <v>960</v>
      </c>
      <c r="M115" s="5" t="s">
        <v>961</v>
      </c>
      <c r="N115" s="5" t="s">
        <v>960</v>
      </c>
      <c r="O115" s="5"/>
      <c r="P115" s="5" t="s">
        <v>962</v>
      </c>
      <c r="Q115" s="6"/>
      <c r="R115" s="6"/>
      <c r="S115" s="6"/>
      <c r="T115" s="6"/>
      <c r="U115" s="6"/>
      <c r="V115" s="6"/>
      <c r="W115" s="5" t="s">
        <v>963</v>
      </c>
      <c r="X115" s="5" t="s">
        <v>937</v>
      </c>
      <c r="Y115" s="5" t="s">
        <v>938</v>
      </c>
    </row>
    <row r="116" customFormat="false" ht="281.3" hidden="false" customHeight="false" outlineLevel="0" collapsed="false">
      <c r="A116" s="5" t="n">
        <v>115</v>
      </c>
      <c r="B116" s="5" t="s">
        <v>846</v>
      </c>
      <c r="C116" s="5" t="s">
        <v>520</v>
      </c>
      <c r="D116" s="5" t="s">
        <v>521</v>
      </c>
      <c r="E116" s="5" t="s">
        <v>522</v>
      </c>
      <c r="F116" s="5" t="n">
        <v>100</v>
      </c>
      <c r="G116" s="5" t="s">
        <v>378</v>
      </c>
      <c r="H116" s="5"/>
      <c r="I116" s="5" t="s">
        <v>964</v>
      </c>
      <c r="J116" s="5" t="s">
        <v>965</v>
      </c>
      <c r="K116" s="5" t="s">
        <v>966</v>
      </c>
      <c r="L116" s="5" t="s">
        <v>967</v>
      </c>
      <c r="M116" s="5" t="s">
        <v>968</v>
      </c>
      <c r="N116" s="5" t="s">
        <v>967</v>
      </c>
      <c r="O116" s="5"/>
      <c r="P116" s="5" t="s">
        <v>969</v>
      </c>
      <c r="Q116" s="6"/>
      <c r="R116" s="6"/>
      <c r="S116" s="6"/>
      <c r="T116" s="6"/>
      <c r="U116" s="6"/>
      <c r="V116" s="6"/>
      <c r="W116" s="5" t="s">
        <v>970</v>
      </c>
      <c r="X116" s="5" t="s">
        <v>971</v>
      </c>
      <c r="Y116" s="5" t="s">
        <v>972</v>
      </c>
    </row>
    <row r="117" customFormat="false" ht="225.35" hidden="false" customHeight="false" outlineLevel="0" collapsed="false">
      <c r="A117" s="5" t="n">
        <v>116</v>
      </c>
      <c r="B117" s="5" t="s">
        <v>846</v>
      </c>
      <c r="C117" s="5" t="s">
        <v>520</v>
      </c>
      <c r="D117" s="5" t="s">
        <v>521</v>
      </c>
      <c r="E117" s="5" t="s">
        <v>522</v>
      </c>
      <c r="F117" s="5" t="n">
        <v>100</v>
      </c>
      <c r="G117" s="5" t="s">
        <v>378</v>
      </c>
      <c r="H117" s="5"/>
      <c r="I117" s="5" t="s">
        <v>973</v>
      </c>
      <c r="J117" s="5" t="s">
        <v>974</v>
      </c>
      <c r="K117" s="5" t="s">
        <v>975</v>
      </c>
      <c r="L117" s="5" t="s">
        <v>976</v>
      </c>
      <c r="M117" s="5" t="s">
        <v>977</v>
      </c>
      <c r="N117" s="5" t="s">
        <v>976</v>
      </c>
      <c r="O117" s="5"/>
      <c r="P117" s="5" t="s">
        <v>978</v>
      </c>
      <c r="Q117" s="6"/>
      <c r="R117" s="6"/>
      <c r="S117" s="6"/>
      <c r="T117" s="6"/>
      <c r="U117" s="6"/>
      <c r="V117" s="6"/>
      <c r="W117" s="5" t="s">
        <v>979</v>
      </c>
      <c r="X117" s="5" t="s">
        <v>980</v>
      </c>
      <c r="Y117" s="5" t="s">
        <v>981</v>
      </c>
    </row>
    <row r="118" customFormat="false" ht="247.75" hidden="false" customHeight="false" outlineLevel="0" collapsed="false">
      <c r="A118" s="5" t="n">
        <v>117</v>
      </c>
      <c r="B118" s="5" t="s">
        <v>846</v>
      </c>
      <c r="C118" s="5" t="s">
        <v>520</v>
      </c>
      <c r="D118" s="5" t="s">
        <v>521</v>
      </c>
      <c r="E118" s="5" t="s">
        <v>522</v>
      </c>
      <c r="F118" s="5" t="n">
        <v>100</v>
      </c>
      <c r="G118" s="5" t="s">
        <v>378</v>
      </c>
      <c r="H118" s="5" t="n">
        <v>26</v>
      </c>
      <c r="I118" s="5" t="s">
        <v>982</v>
      </c>
      <c r="J118" s="5" t="s">
        <v>983</v>
      </c>
      <c r="K118" s="5" t="s">
        <v>984</v>
      </c>
      <c r="L118" s="5" t="s">
        <v>985</v>
      </c>
      <c r="M118" s="5" t="s">
        <v>986</v>
      </c>
      <c r="N118" s="5" t="s">
        <v>985</v>
      </c>
      <c r="O118" s="5"/>
      <c r="P118" s="5" t="s">
        <v>987</v>
      </c>
      <c r="Q118" s="6"/>
      <c r="R118" s="6"/>
      <c r="S118" s="6"/>
      <c r="T118" s="6"/>
      <c r="U118" s="6"/>
      <c r="V118" s="6"/>
      <c r="W118" s="5" t="s">
        <v>988</v>
      </c>
      <c r="X118" s="5" t="s">
        <v>989</v>
      </c>
      <c r="Y118" s="5" t="s">
        <v>990</v>
      </c>
    </row>
    <row r="119" customFormat="false" ht="191.75" hidden="false" customHeight="false" outlineLevel="0" collapsed="false">
      <c r="A119" s="5" t="n">
        <v>118</v>
      </c>
      <c r="B119" s="5" t="s">
        <v>846</v>
      </c>
      <c r="C119" s="5" t="s">
        <v>520</v>
      </c>
      <c r="D119" s="5" t="s">
        <v>521</v>
      </c>
      <c r="E119" s="5" t="s">
        <v>522</v>
      </c>
      <c r="F119" s="5" t="n">
        <v>100</v>
      </c>
      <c r="G119" s="5" t="s">
        <v>378</v>
      </c>
      <c r="H119" s="5"/>
      <c r="I119" s="5" t="s">
        <v>991</v>
      </c>
      <c r="J119" s="5" t="s">
        <v>992</v>
      </c>
      <c r="K119" s="5" t="s">
        <v>993</v>
      </c>
      <c r="L119" s="5" t="s">
        <v>994</v>
      </c>
      <c r="M119" s="5" t="s">
        <v>995</v>
      </c>
      <c r="N119" s="5" t="s">
        <v>994</v>
      </c>
      <c r="O119" s="5"/>
      <c r="P119" s="5" t="s">
        <v>996</v>
      </c>
      <c r="Q119" s="6"/>
      <c r="R119" s="6"/>
      <c r="S119" s="6"/>
      <c r="T119" s="6"/>
      <c r="U119" s="6"/>
      <c r="V119" s="6"/>
      <c r="W119" s="5" t="s">
        <v>997</v>
      </c>
      <c r="X119" s="5" t="s">
        <v>998</v>
      </c>
      <c r="Y119" s="5" t="s">
        <v>999</v>
      </c>
    </row>
    <row r="120" customFormat="false" ht="314.9" hidden="false" customHeight="false" outlineLevel="0" collapsed="false">
      <c r="A120" s="5" t="n">
        <v>119</v>
      </c>
      <c r="B120" s="5" t="s">
        <v>846</v>
      </c>
      <c r="C120" s="5" t="s">
        <v>520</v>
      </c>
      <c r="D120" s="5" t="s">
        <v>521</v>
      </c>
      <c r="E120" s="5" t="s">
        <v>522</v>
      </c>
      <c r="F120" s="5" t="n">
        <v>100</v>
      </c>
      <c r="G120" s="5" t="s">
        <v>378</v>
      </c>
      <c r="H120" s="5"/>
      <c r="I120" s="5" t="s">
        <v>1000</v>
      </c>
      <c r="J120" s="5" t="s">
        <v>1001</v>
      </c>
      <c r="K120" s="5" t="s">
        <v>1002</v>
      </c>
      <c r="L120" s="5" t="s">
        <v>1003</v>
      </c>
      <c r="M120" s="5"/>
      <c r="N120" s="5" t="s">
        <v>1003</v>
      </c>
      <c r="O120" s="5"/>
      <c r="P120" s="5" t="s">
        <v>1004</v>
      </c>
      <c r="Q120" s="6"/>
      <c r="R120" s="6"/>
      <c r="S120" s="6"/>
      <c r="T120" s="6"/>
      <c r="U120" s="6"/>
      <c r="V120" s="6"/>
      <c r="W120" s="5" t="s">
        <v>1005</v>
      </c>
      <c r="X120" s="5" t="s">
        <v>1006</v>
      </c>
      <c r="Y120" s="5" t="s">
        <v>1007</v>
      </c>
    </row>
    <row r="121" customFormat="false" ht="247.75" hidden="false" customHeight="false" outlineLevel="0" collapsed="false">
      <c r="A121" s="5" t="n">
        <v>120</v>
      </c>
      <c r="B121" s="5" t="s">
        <v>846</v>
      </c>
      <c r="C121" s="5" t="s">
        <v>520</v>
      </c>
      <c r="D121" s="5" t="s">
        <v>521</v>
      </c>
      <c r="E121" s="5" t="s">
        <v>522</v>
      </c>
      <c r="F121" s="5" t="n">
        <v>100</v>
      </c>
      <c r="G121" s="5" t="s">
        <v>378</v>
      </c>
      <c r="H121" s="5" t="n">
        <v>36</v>
      </c>
      <c r="I121" s="5" t="s">
        <v>1008</v>
      </c>
      <c r="J121" s="5" t="s">
        <v>1009</v>
      </c>
      <c r="K121" s="5" t="s">
        <v>1010</v>
      </c>
      <c r="L121" s="5" t="s">
        <v>1011</v>
      </c>
      <c r="M121" s="5"/>
      <c r="N121" s="5" t="s">
        <v>1011</v>
      </c>
      <c r="O121" s="5"/>
      <c r="P121" s="5" t="s">
        <v>1012</v>
      </c>
      <c r="Q121" s="6"/>
      <c r="R121" s="6"/>
      <c r="S121" s="6"/>
      <c r="T121" s="6"/>
      <c r="U121" s="6"/>
      <c r="V121" s="6"/>
      <c r="W121" s="5" t="s">
        <v>1013</v>
      </c>
      <c r="X121" s="5" t="s">
        <v>326</v>
      </c>
      <c r="Y121" s="5" t="s">
        <v>327</v>
      </c>
    </row>
  </sheetData>
  <autoFilter ref="A1:Y121"/>
  <dataValidations count="5">
    <dataValidation allowBlank="true" errorStyle="stop" operator="between" showDropDown="false" showErrorMessage="false" showInputMessage="false" sqref="Q2:Q121" type="list">
      <formula1>"Y,N"</formula1>
      <formula2>0</formula2>
    </dataValidation>
    <dataValidation allowBlank="true" errorStyle="stop" operator="between" showDropDown="false" showErrorMessage="false" showInputMessage="false" sqref="R2:R121" type="list">
      <formula1>"Y,N,NA"</formula1>
      <formula2>0</formula2>
    </dataValidation>
    <dataValidation allowBlank="true" errorStyle="stop" operator="between" showDropDown="false" showErrorMessage="false" showInputMessage="false" sqref="S2:S121" type="list">
      <formula1>"Y,Cut,Multi,Junk,NA"</formula1>
      <formula2>0</formula2>
    </dataValidation>
    <dataValidation allowBlank="true" errorStyle="stop" operator="between" showDropDown="false" showErrorMessage="false" showInputMessage="false" sqref="T2:T121" type="list">
      <formula1>"Y,N,NA"</formula1>
      <formula2>0</formula2>
    </dataValidation>
    <dataValidation allowBlank="true" errorStyle="stop" operator="between" showDropDown="false" showErrorMessage="false" showInputMessage="false" sqref="U2:U121" type="list">
      <formula1>"Y,N,NA"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8" min="1" style="0" width="18"/>
  </cols>
  <sheetData>
    <row r="1" customFormat="false" ht="15" hidden="false" customHeight="false" outlineLevel="0" collapsed="false">
      <c r="A1" s="7" t="s">
        <v>16</v>
      </c>
      <c r="B1" s="7" t="s">
        <v>1014</v>
      </c>
      <c r="C1" s="7" t="s">
        <v>1015</v>
      </c>
      <c r="D1" s="7" t="s">
        <v>1016</v>
      </c>
      <c r="E1" s="7" t="s">
        <v>1017</v>
      </c>
      <c r="F1" s="7" t="s">
        <v>1018</v>
      </c>
      <c r="G1" s="7" t="s">
        <v>1019</v>
      </c>
      <c r="H1" s="7" t="s">
        <v>1020</v>
      </c>
    </row>
    <row r="2" customFormat="false" ht="15" hidden="false" customHeight="false" outlineLevel="0" collapsed="false">
      <c r="A2" s="2" t="s">
        <v>40</v>
      </c>
      <c r="B2" s="0" t="n">
        <f aca="false">COUNTIF(Validation!$B$2:$B$121,$A2)</f>
        <v>25</v>
      </c>
      <c r="C2" s="0" t="n">
        <f aca="false">COUNTIFS(Validation!$B$2:$B$121,$A2,Validation!$Q$2:$Q$121,"&lt;&gt;")</f>
        <v>0</v>
      </c>
      <c r="D2" s="8" t="str">
        <f aca="false">IFERROR(COUNTIFS(Validation!$B$2:$B$121,$A2,Validation!$Q$2:$Q$121,"Y")/(COUNTIFS(Validation!$B$2:$B$121,$A2,Validation!$Q$2:$Q$121,"&lt;&gt;")-COUNTIFS(Validation!$B$2:$B$121,$A2,Validation!$Q$2:$Q$121,"NA")),"")</f>
        <v/>
      </c>
      <c r="E2" s="8" t="str">
        <f aca="false">IFERROR(COUNTIFS(Validation!$B$2:$B$121,$A2,Validation!$R$2:$R$121,"Y")/(COUNTIFS(Validation!$B$2:$B$121,$A2,Validation!$R$2:$R$121,"&lt;&gt;")-COUNTIFS(Validation!$B$2:$B$121,$A2,Validation!$R$2:$R$121,"NA")),"")</f>
        <v/>
      </c>
      <c r="F2" s="8" t="str">
        <f aca="false">IFERROR(COUNTIFS(Validation!$B$2:$B$121,$A2,Validation!$S$2:$S$121,"Y")/(COUNTIFS(Validation!$B$2:$B$121,$A2,Validation!$S$2:$S$121,"&lt;&gt;")-COUNTIFS(Validation!$B$2:$B$121,$A2,Validation!$S$2:$S$121,"NA")),"")</f>
        <v/>
      </c>
      <c r="G2" s="8" t="str">
        <f aca="false">IFERROR(COUNTIFS(Validation!$B$2:$B$121,$A2,Validation!$T$2:$T$121,"Y")/(COUNTIFS(Validation!$B$2:$B$121,$A2,Validation!$T$2:$T$121,"&lt;&gt;")-COUNTIFS(Validation!$B$2:$B$121,$A2,Validation!$T$2:$T$121,"NA")),"")</f>
        <v/>
      </c>
      <c r="H2" s="8" t="str">
        <f aca="false">IFERROR(COUNTIFS(Validation!$B$2:$B$121,$A2,Validation!$U$2:$U$121,"Y")/(COUNTIFS(Validation!$B$2:$B$121,$A2,Validation!$U$2:$U$121,"&lt;&gt;")-COUNTIFS(Validation!$B$2:$B$121,$A2,Validation!$U$2:$U$121,"NA")),"")</f>
        <v/>
      </c>
    </row>
    <row r="3" customFormat="false" ht="15" hidden="false" customHeight="false" outlineLevel="0" collapsed="false">
      <c r="A3" s="2" t="s">
        <v>239</v>
      </c>
      <c r="B3" s="0" t="n">
        <f aca="false">COUNTIF(Validation!$B$2:$B$121,$A3)</f>
        <v>15</v>
      </c>
      <c r="C3" s="0" t="n">
        <f aca="false">COUNTIFS(Validation!$B$2:$B$121,$A3,Validation!$Q$2:$Q$121,"&lt;&gt;")</f>
        <v>0</v>
      </c>
      <c r="D3" s="8" t="str">
        <f aca="false">IFERROR(COUNTIFS(Validation!$B$2:$B$121,$A3,Validation!$Q$2:$Q$121,"Y")/(COUNTIFS(Validation!$B$2:$B$121,$A3,Validation!$Q$2:$Q$121,"&lt;&gt;")-COUNTIFS(Validation!$B$2:$B$121,$A3,Validation!$Q$2:$Q$121,"NA")),"")</f>
        <v/>
      </c>
      <c r="E3" s="8" t="str">
        <f aca="false">IFERROR(COUNTIFS(Validation!$B$2:$B$121,$A3,Validation!$R$2:$R$121,"Y")/(COUNTIFS(Validation!$B$2:$B$121,$A3,Validation!$R$2:$R$121,"&lt;&gt;")-COUNTIFS(Validation!$B$2:$B$121,$A3,Validation!$R$2:$R$121,"NA")),"")</f>
        <v/>
      </c>
      <c r="F3" s="8" t="str">
        <f aca="false">IFERROR(COUNTIFS(Validation!$B$2:$B$121,$A3,Validation!$S$2:$S$121,"Y")/(COUNTIFS(Validation!$B$2:$B$121,$A3,Validation!$S$2:$S$121,"&lt;&gt;")-COUNTIFS(Validation!$B$2:$B$121,$A3,Validation!$S$2:$S$121,"NA")),"")</f>
        <v/>
      </c>
      <c r="G3" s="8" t="str">
        <f aca="false">IFERROR(COUNTIFS(Validation!$B$2:$B$121,$A3,Validation!$T$2:$T$121,"Y")/(COUNTIFS(Validation!$B$2:$B$121,$A3,Validation!$T$2:$T$121,"&lt;&gt;")-COUNTIFS(Validation!$B$2:$B$121,$A3,Validation!$T$2:$T$121,"NA")),"")</f>
        <v/>
      </c>
      <c r="H3" s="8" t="str">
        <f aca="false">IFERROR(COUNTIFS(Validation!$B$2:$B$121,$A3,Validation!$U$2:$U$121,"Y")/(COUNTIFS(Validation!$B$2:$B$121,$A3,Validation!$U$2:$U$121,"&lt;&gt;")-COUNTIFS(Validation!$B$2:$B$121,$A3,Validation!$U$2:$U$121,"NA")),"")</f>
        <v/>
      </c>
    </row>
    <row r="4" customFormat="false" ht="15" hidden="false" customHeight="false" outlineLevel="0" collapsed="false">
      <c r="A4" s="2" t="s">
        <v>376</v>
      </c>
      <c r="B4" s="0" t="n">
        <f aca="false">COUNTIF(Validation!$B$2:$B$121,$A4)</f>
        <v>20</v>
      </c>
      <c r="C4" s="0" t="n">
        <f aca="false">COUNTIFS(Validation!$B$2:$B$121,$A4,Validation!$Q$2:$Q$121,"&lt;&gt;")</f>
        <v>0</v>
      </c>
      <c r="D4" s="8" t="str">
        <f aca="false">IFERROR(COUNTIFS(Validation!$B$2:$B$121,$A4,Validation!$Q$2:$Q$121,"Y")/(COUNTIFS(Validation!$B$2:$B$121,$A4,Validation!$Q$2:$Q$121,"&lt;&gt;")-COUNTIFS(Validation!$B$2:$B$121,$A4,Validation!$Q$2:$Q$121,"NA")),"")</f>
        <v/>
      </c>
      <c r="E4" s="8" t="str">
        <f aca="false">IFERROR(COUNTIFS(Validation!$B$2:$B$121,$A4,Validation!$R$2:$R$121,"Y")/(COUNTIFS(Validation!$B$2:$B$121,$A4,Validation!$R$2:$R$121,"&lt;&gt;")-COUNTIFS(Validation!$B$2:$B$121,$A4,Validation!$R$2:$R$121,"NA")),"")</f>
        <v/>
      </c>
      <c r="F4" s="8" t="str">
        <f aca="false">IFERROR(COUNTIFS(Validation!$B$2:$B$121,$A4,Validation!$S$2:$S$121,"Y")/(COUNTIFS(Validation!$B$2:$B$121,$A4,Validation!$S$2:$S$121,"&lt;&gt;")-COUNTIFS(Validation!$B$2:$B$121,$A4,Validation!$S$2:$S$121,"NA")),"")</f>
        <v/>
      </c>
      <c r="G4" s="8" t="str">
        <f aca="false">IFERROR(COUNTIFS(Validation!$B$2:$B$121,$A4,Validation!$T$2:$T$121,"Y")/(COUNTIFS(Validation!$B$2:$B$121,$A4,Validation!$T$2:$T$121,"&lt;&gt;")-COUNTIFS(Validation!$B$2:$B$121,$A4,Validation!$T$2:$T$121,"NA")),"")</f>
        <v/>
      </c>
      <c r="H4" s="8" t="str">
        <f aca="false">IFERROR(COUNTIFS(Validation!$B$2:$B$121,$A4,Validation!$U$2:$U$121,"Y")/(COUNTIFS(Validation!$B$2:$B$121,$A4,Validation!$U$2:$U$121,"&lt;&gt;")-COUNTIFS(Validation!$B$2:$B$121,$A4,Validation!$U$2:$U$121,"NA")),"")</f>
        <v/>
      </c>
    </row>
    <row r="5" customFormat="false" ht="15" hidden="false" customHeight="false" outlineLevel="0" collapsed="false">
      <c r="A5" s="2" t="s">
        <v>519</v>
      </c>
      <c r="B5" s="0" t="n">
        <f aca="false">COUNTIF(Validation!$B$2:$B$121,$A5)</f>
        <v>10</v>
      </c>
      <c r="C5" s="0" t="n">
        <f aca="false">COUNTIFS(Validation!$B$2:$B$121,$A5,Validation!$Q$2:$Q$121,"&lt;&gt;")</f>
        <v>0</v>
      </c>
      <c r="D5" s="8" t="str">
        <f aca="false">IFERROR(COUNTIFS(Validation!$B$2:$B$121,$A5,Validation!$Q$2:$Q$121,"Y")/(COUNTIFS(Validation!$B$2:$B$121,$A5,Validation!$Q$2:$Q$121,"&lt;&gt;")-COUNTIFS(Validation!$B$2:$B$121,$A5,Validation!$Q$2:$Q$121,"NA")),"")</f>
        <v/>
      </c>
      <c r="E5" s="8" t="str">
        <f aca="false">IFERROR(COUNTIFS(Validation!$B$2:$B$121,$A5,Validation!$R$2:$R$121,"Y")/(COUNTIFS(Validation!$B$2:$B$121,$A5,Validation!$R$2:$R$121,"&lt;&gt;")-COUNTIFS(Validation!$B$2:$B$121,$A5,Validation!$R$2:$R$121,"NA")),"")</f>
        <v/>
      </c>
      <c r="F5" s="8" t="str">
        <f aca="false">IFERROR(COUNTIFS(Validation!$B$2:$B$121,$A5,Validation!$S$2:$S$121,"Y")/(COUNTIFS(Validation!$B$2:$B$121,$A5,Validation!$S$2:$S$121,"&lt;&gt;")-COUNTIFS(Validation!$B$2:$B$121,$A5,Validation!$S$2:$S$121,"NA")),"")</f>
        <v/>
      </c>
      <c r="G5" s="8" t="str">
        <f aca="false">IFERROR(COUNTIFS(Validation!$B$2:$B$121,$A5,Validation!$T$2:$T$121,"Y")/(COUNTIFS(Validation!$B$2:$B$121,$A5,Validation!$T$2:$T$121,"&lt;&gt;")-COUNTIFS(Validation!$B$2:$B$121,$A5,Validation!$T$2:$T$121,"NA")),"")</f>
        <v/>
      </c>
      <c r="H5" s="8" t="str">
        <f aca="false">IFERROR(COUNTIFS(Validation!$B$2:$B$121,$A5,Validation!$U$2:$U$121,"Y")/(COUNTIFS(Validation!$B$2:$B$121,$A5,Validation!$U$2:$U$121,"&lt;&gt;")-COUNTIFS(Validation!$B$2:$B$121,$A5,Validation!$U$2:$U$121,"NA")),"")</f>
        <v/>
      </c>
    </row>
    <row r="6" customFormat="false" ht="15" hidden="false" customHeight="false" outlineLevel="0" collapsed="false">
      <c r="A6" s="2" t="s">
        <v>609</v>
      </c>
      <c r="B6" s="0" t="n">
        <f aca="false">COUNTIF(Validation!$B$2:$B$121,$A6)</f>
        <v>5</v>
      </c>
      <c r="C6" s="0" t="n">
        <f aca="false">COUNTIFS(Validation!$B$2:$B$121,$A6,Validation!$Q$2:$Q$121,"&lt;&gt;")</f>
        <v>0</v>
      </c>
      <c r="D6" s="8" t="str">
        <f aca="false">IFERROR(COUNTIFS(Validation!$B$2:$B$121,$A6,Validation!$Q$2:$Q$121,"Y")/(COUNTIFS(Validation!$B$2:$B$121,$A6,Validation!$Q$2:$Q$121,"&lt;&gt;")-COUNTIFS(Validation!$B$2:$B$121,$A6,Validation!$Q$2:$Q$121,"NA")),"")</f>
        <v/>
      </c>
      <c r="E6" s="8" t="str">
        <f aca="false">IFERROR(COUNTIFS(Validation!$B$2:$B$121,$A6,Validation!$R$2:$R$121,"Y")/(COUNTIFS(Validation!$B$2:$B$121,$A6,Validation!$R$2:$R$121,"&lt;&gt;")-COUNTIFS(Validation!$B$2:$B$121,$A6,Validation!$R$2:$R$121,"NA")),"")</f>
        <v/>
      </c>
      <c r="F6" s="8" t="str">
        <f aca="false">IFERROR(COUNTIFS(Validation!$B$2:$B$121,$A6,Validation!$S$2:$S$121,"Y")/(COUNTIFS(Validation!$B$2:$B$121,$A6,Validation!$S$2:$S$121,"&lt;&gt;")-COUNTIFS(Validation!$B$2:$B$121,$A6,Validation!$S$2:$S$121,"NA")),"")</f>
        <v/>
      </c>
      <c r="G6" s="8" t="str">
        <f aca="false">IFERROR(COUNTIFS(Validation!$B$2:$B$121,$A6,Validation!$T$2:$T$121,"Y")/(COUNTIFS(Validation!$B$2:$B$121,$A6,Validation!$T$2:$T$121,"&lt;&gt;")-COUNTIFS(Validation!$B$2:$B$121,$A6,Validation!$T$2:$T$121,"NA")),"")</f>
        <v/>
      </c>
      <c r="H6" s="8" t="str">
        <f aca="false">IFERROR(COUNTIFS(Validation!$B$2:$B$121,$A6,Validation!$U$2:$U$121,"Y")/(COUNTIFS(Validation!$B$2:$B$121,$A6,Validation!$U$2:$U$121,"&lt;&gt;")-COUNTIFS(Validation!$B$2:$B$121,$A6,Validation!$U$2:$U$121,"NA")),"")</f>
        <v/>
      </c>
    </row>
    <row r="7" customFormat="false" ht="15" hidden="false" customHeight="false" outlineLevel="0" collapsed="false">
      <c r="A7" s="2" t="s">
        <v>645</v>
      </c>
      <c r="B7" s="0" t="n">
        <f aca="false">COUNTIF(Validation!$B$2:$B$121,$A7)</f>
        <v>5</v>
      </c>
      <c r="C7" s="0" t="n">
        <f aca="false">COUNTIFS(Validation!$B$2:$B$121,$A7,Validation!$Q$2:$Q$121,"&lt;&gt;")</f>
        <v>0</v>
      </c>
      <c r="D7" s="8" t="str">
        <f aca="false">IFERROR(COUNTIFS(Validation!$B$2:$B$121,$A7,Validation!$Q$2:$Q$121,"Y")/(COUNTIFS(Validation!$B$2:$B$121,$A7,Validation!$Q$2:$Q$121,"&lt;&gt;")-COUNTIFS(Validation!$B$2:$B$121,$A7,Validation!$Q$2:$Q$121,"NA")),"")</f>
        <v/>
      </c>
      <c r="E7" s="8" t="str">
        <f aca="false">IFERROR(COUNTIFS(Validation!$B$2:$B$121,$A7,Validation!$R$2:$R$121,"Y")/(COUNTIFS(Validation!$B$2:$B$121,$A7,Validation!$R$2:$R$121,"&lt;&gt;")-COUNTIFS(Validation!$B$2:$B$121,$A7,Validation!$R$2:$R$121,"NA")),"")</f>
        <v/>
      </c>
      <c r="F7" s="8" t="str">
        <f aca="false">IFERROR(COUNTIFS(Validation!$B$2:$B$121,$A7,Validation!$S$2:$S$121,"Y")/(COUNTIFS(Validation!$B$2:$B$121,$A7,Validation!$S$2:$S$121,"&lt;&gt;")-COUNTIFS(Validation!$B$2:$B$121,$A7,Validation!$S$2:$S$121,"NA")),"")</f>
        <v/>
      </c>
      <c r="G7" s="8" t="str">
        <f aca="false">IFERROR(COUNTIFS(Validation!$B$2:$B$121,$A7,Validation!$T$2:$T$121,"Y")/(COUNTIFS(Validation!$B$2:$B$121,$A7,Validation!$T$2:$T$121,"&lt;&gt;")-COUNTIFS(Validation!$B$2:$B$121,$A7,Validation!$T$2:$T$121,"NA")),"")</f>
        <v/>
      </c>
      <c r="H7" s="8" t="str">
        <f aca="false">IFERROR(COUNTIFS(Validation!$B$2:$B$121,$A7,Validation!$U$2:$U$121,"Y")/(COUNTIFS(Validation!$B$2:$B$121,$A7,Validation!$U$2:$U$121,"&lt;&gt;")-COUNTIFS(Validation!$B$2:$B$121,$A7,Validation!$U$2:$U$121,"NA")),"")</f>
        <v/>
      </c>
    </row>
    <row r="8" customFormat="false" ht="15" hidden="false" customHeight="false" outlineLevel="0" collapsed="false">
      <c r="A8" s="2" t="s">
        <v>676</v>
      </c>
      <c r="B8" s="0" t="n">
        <f aca="false">COUNTIF(Validation!$B$2:$B$121,$A8)</f>
        <v>5</v>
      </c>
      <c r="C8" s="0" t="n">
        <f aca="false">COUNTIFS(Validation!$B$2:$B$121,$A8,Validation!$Q$2:$Q$121,"&lt;&gt;")</f>
        <v>0</v>
      </c>
      <c r="D8" s="8" t="str">
        <f aca="false">IFERROR(COUNTIFS(Validation!$B$2:$B$121,$A8,Validation!$Q$2:$Q$121,"Y")/(COUNTIFS(Validation!$B$2:$B$121,$A8,Validation!$Q$2:$Q$121,"&lt;&gt;")-COUNTIFS(Validation!$B$2:$B$121,$A8,Validation!$Q$2:$Q$121,"NA")),"")</f>
        <v/>
      </c>
      <c r="E8" s="8" t="str">
        <f aca="false">IFERROR(COUNTIFS(Validation!$B$2:$B$121,$A8,Validation!$R$2:$R$121,"Y")/(COUNTIFS(Validation!$B$2:$B$121,$A8,Validation!$R$2:$R$121,"&lt;&gt;")-COUNTIFS(Validation!$B$2:$B$121,$A8,Validation!$R$2:$R$121,"NA")),"")</f>
        <v/>
      </c>
      <c r="F8" s="8" t="str">
        <f aca="false">IFERROR(COUNTIFS(Validation!$B$2:$B$121,$A8,Validation!$S$2:$S$121,"Y")/(COUNTIFS(Validation!$B$2:$B$121,$A8,Validation!$S$2:$S$121,"&lt;&gt;")-COUNTIFS(Validation!$B$2:$B$121,$A8,Validation!$S$2:$S$121,"NA")),"")</f>
        <v/>
      </c>
      <c r="G8" s="8" t="str">
        <f aca="false">IFERROR(COUNTIFS(Validation!$B$2:$B$121,$A8,Validation!$T$2:$T$121,"Y")/(COUNTIFS(Validation!$B$2:$B$121,$A8,Validation!$T$2:$T$121,"&lt;&gt;")-COUNTIFS(Validation!$B$2:$B$121,$A8,Validation!$T$2:$T$121,"NA")),"")</f>
        <v/>
      </c>
      <c r="H8" s="8" t="str">
        <f aca="false">IFERROR(COUNTIFS(Validation!$B$2:$B$121,$A8,Validation!$U$2:$U$121,"Y")/(COUNTIFS(Validation!$B$2:$B$121,$A8,Validation!$U$2:$U$121,"&lt;&gt;")-COUNTIFS(Validation!$B$2:$B$121,$A8,Validation!$U$2:$U$121,"NA")),"")</f>
        <v/>
      </c>
    </row>
    <row r="9" customFormat="false" ht="15" hidden="false" customHeight="false" outlineLevel="0" collapsed="false">
      <c r="A9" s="2" t="s">
        <v>716</v>
      </c>
      <c r="B9" s="0" t="n">
        <f aca="false">COUNTIF(Validation!$B$2:$B$121,$A9)</f>
        <v>15</v>
      </c>
      <c r="C9" s="0" t="n">
        <f aca="false">COUNTIFS(Validation!$B$2:$B$121,$A9,Validation!$Q$2:$Q$121,"&lt;&gt;")</f>
        <v>0</v>
      </c>
      <c r="D9" s="8" t="str">
        <f aca="false">IFERROR(COUNTIFS(Validation!$B$2:$B$121,$A9,Validation!$Q$2:$Q$121,"Y")/(COUNTIFS(Validation!$B$2:$B$121,$A9,Validation!$Q$2:$Q$121,"&lt;&gt;")-COUNTIFS(Validation!$B$2:$B$121,$A9,Validation!$Q$2:$Q$121,"NA")),"")</f>
        <v/>
      </c>
      <c r="E9" s="8" t="str">
        <f aca="false">IFERROR(COUNTIFS(Validation!$B$2:$B$121,$A9,Validation!$R$2:$R$121,"Y")/(COUNTIFS(Validation!$B$2:$B$121,$A9,Validation!$R$2:$R$121,"&lt;&gt;")-COUNTIFS(Validation!$B$2:$B$121,$A9,Validation!$R$2:$R$121,"NA")),"")</f>
        <v/>
      </c>
      <c r="F9" s="8" t="str">
        <f aca="false">IFERROR(COUNTIFS(Validation!$B$2:$B$121,$A9,Validation!$S$2:$S$121,"Y")/(COUNTIFS(Validation!$B$2:$B$121,$A9,Validation!$S$2:$S$121,"&lt;&gt;")-COUNTIFS(Validation!$B$2:$B$121,$A9,Validation!$S$2:$S$121,"NA")),"")</f>
        <v/>
      </c>
      <c r="G9" s="8" t="str">
        <f aca="false">IFERROR(COUNTIFS(Validation!$B$2:$B$121,$A9,Validation!$T$2:$T$121,"Y")/(COUNTIFS(Validation!$B$2:$B$121,$A9,Validation!$T$2:$T$121,"&lt;&gt;")-COUNTIFS(Validation!$B$2:$B$121,$A9,Validation!$T$2:$T$121,"NA")),"")</f>
        <v/>
      </c>
      <c r="H9" s="8" t="str">
        <f aca="false">IFERROR(COUNTIFS(Validation!$B$2:$B$121,$A9,Validation!$U$2:$U$121,"Y")/(COUNTIFS(Validation!$B$2:$B$121,$A9,Validation!$U$2:$U$121,"&lt;&gt;")-COUNTIFS(Validation!$B$2:$B$121,$A9,Validation!$U$2:$U$121,"NA")),"")</f>
        <v/>
      </c>
    </row>
    <row r="10" customFormat="false" ht="15" hidden="false" customHeight="false" outlineLevel="0" collapsed="false">
      <c r="A10" s="2" t="s">
        <v>846</v>
      </c>
      <c r="B10" s="0" t="n">
        <f aca="false">COUNTIF(Validation!$B$2:$B$121,$A10)</f>
        <v>20</v>
      </c>
      <c r="C10" s="0" t="n">
        <f aca="false">COUNTIFS(Validation!$B$2:$B$121,$A10,Validation!$Q$2:$Q$121,"&lt;&gt;")</f>
        <v>0</v>
      </c>
      <c r="D10" s="8" t="str">
        <f aca="false">IFERROR(COUNTIFS(Validation!$B$2:$B$121,$A10,Validation!$Q$2:$Q$121,"Y")/(COUNTIFS(Validation!$B$2:$B$121,$A10,Validation!$Q$2:$Q$121,"&lt;&gt;")-COUNTIFS(Validation!$B$2:$B$121,$A10,Validation!$Q$2:$Q$121,"NA")),"")</f>
        <v/>
      </c>
      <c r="E10" s="8" t="str">
        <f aca="false">IFERROR(COUNTIFS(Validation!$B$2:$B$121,$A10,Validation!$R$2:$R$121,"Y")/(COUNTIFS(Validation!$B$2:$B$121,$A10,Validation!$R$2:$R$121,"&lt;&gt;")-COUNTIFS(Validation!$B$2:$B$121,$A10,Validation!$R$2:$R$121,"NA")),"")</f>
        <v/>
      </c>
      <c r="F10" s="8" t="str">
        <f aca="false">IFERROR(COUNTIFS(Validation!$B$2:$B$121,$A10,Validation!$S$2:$S$121,"Y")/(COUNTIFS(Validation!$B$2:$B$121,$A10,Validation!$S$2:$S$121,"&lt;&gt;")-COUNTIFS(Validation!$B$2:$B$121,$A10,Validation!$S$2:$S$121,"NA")),"")</f>
        <v/>
      </c>
      <c r="G10" s="8" t="str">
        <f aca="false">IFERROR(COUNTIFS(Validation!$B$2:$B$121,$A10,Validation!$T$2:$T$121,"Y")/(COUNTIFS(Validation!$B$2:$B$121,$A10,Validation!$T$2:$T$121,"&lt;&gt;")-COUNTIFS(Validation!$B$2:$B$121,$A10,Validation!$T$2:$T$121,"NA")),"")</f>
        <v/>
      </c>
      <c r="H10" s="8" t="str">
        <f aca="false">IFERROR(COUNTIFS(Validation!$B$2:$B$121,$A10,Validation!$U$2:$U$121,"Y")/(COUNTIFS(Validation!$B$2:$B$121,$A10,Validation!$U$2:$U$121,"&lt;&gt;")-COUNTIFS(Validation!$B$2:$B$121,$A10,Validation!$U$2:$U$121,"NA")),"")</f>
        <v/>
      </c>
    </row>
    <row r="11" customFormat="false" ht="15" hidden="false" customHeight="false" outlineLevel="0" collapsed="false">
      <c r="A11" s="1" t="s">
        <v>1021</v>
      </c>
      <c r="B11" s="0" t="n">
        <f aca="false">COUNTIF(Validation!$B$2:$B$121,"*")</f>
        <v>120</v>
      </c>
      <c r="C11" s="0" t="n">
        <f aca="false">COUNTIFS(Validation!$B$2:$B$121,"*",Validation!$Q$2:$Q$121,"&lt;&gt;")</f>
        <v>0</v>
      </c>
      <c r="D11" s="8" t="str">
        <f aca="false">IFERROR(COUNTIFS(Validation!$B$2:$B$121,"*",Validation!$Q$2:$Q$121,"Y")/(COUNTIFS(Validation!$B$2:$B$121,"*",Validation!$Q$2:$Q$121,"&lt;&gt;")-COUNTIFS(Validation!$B$2:$B$121,"*",Validation!$Q$2:$Q$121,"NA")),"")</f>
        <v/>
      </c>
      <c r="E11" s="8" t="str">
        <f aca="false">IFERROR(COUNTIFS(Validation!$B$2:$B$121,"*",Validation!$R$2:$R$121,"Y")/(COUNTIFS(Validation!$B$2:$B$121,"*",Validation!$R$2:$R$121,"&lt;&gt;")-COUNTIFS(Validation!$B$2:$B$121,"*",Validation!$R$2:$R$121,"NA")),"")</f>
        <v/>
      </c>
      <c r="F11" s="8" t="str">
        <f aca="false">IFERROR(COUNTIFS(Validation!$B$2:$B$121,"*",Validation!$S$2:$S$121,"Y")/(COUNTIFS(Validation!$B$2:$B$121,"*",Validation!$S$2:$S$121,"&lt;&gt;")-COUNTIFS(Validation!$B$2:$B$121,"*",Validation!$S$2:$S$121,"NA")),"")</f>
        <v/>
      </c>
      <c r="G11" s="8" t="str">
        <f aca="false">IFERROR(COUNTIFS(Validation!$B$2:$B$121,"*",Validation!$T$2:$T$121,"Y")/(COUNTIFS(Validation!$B$2:$B$121,"*",Validation!$T$2:$T$121,"&lt;&gt;")-COUNTIFS(Validation!$B$2:$B$121,"*",Validation!$T$2:$T$121,"NA")),"")</f>
        <v/>
      </c>
      <c r="H11" s="8" t="str">
        <f aca="false">IFERROR(COUNTIFS(Validation!$B$2:$B$121,"*",Validation!$U$2:$U$121,"Y")/(COUNTIFS(Validation!$B$2:$B$121,"*",Validation!$U$2:$U$121,"&lt;&gt;")-COUNTIFS(Validation!$B$2:$B$121,"*",Validation!$U$2:$U$121,"NA")),"")</f>
        <v/>
      </c>
    </row>
    <row r="13" customFormat="false" ht="15" hidden="false" customHeight="false" outlineLevel="0" collapsed="false">
      <c r="A13" s="9" t="s">
        <v>1022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LibreOffice/25.8.2.2$MacOSX_AARCH64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2026-10-15T20:02:22Z</dcterms:created>
  <dc:creator>openpyxl</dc:creator>
  <dc:description/>
  <dc:language>en-US</dc:language>
  <cp:lastModifiedBy/>
  <dcterms:modified xsi:type="dcterms:W3CDTF">2026-10-15T20:02:22Z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