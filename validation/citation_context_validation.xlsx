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comments2.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Validation" sheetId="2" state="visible" r:id="rId4"/>
    <sheet name="Summary" sheetId="3" state="visible" r:id="rId5"/>
  </sheets>
  <definedNames>
    <definedName function="false" hidden="true" localSheetId="1" name="_xlnm._FilterDatabase" vbProcedure="false">Validation!$A$1:$U$156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generator</author>
  </authors>
  <commentList>
    <comment ref="M1" authorId="0">
      <text>
        <r>
          <rPr>
            <sz val="10"/>
            <rFont val="Arial"/>
            <family val="2"/>
          </rPr>
          <t xml:space="preserve">±600 raw markdown chars around the match; matched span in ⟦ ⟧. Unmatched rows show the best fuzzy candidate and its score.</t>
        </r>
      </text>
    </comment>
  </commentList>
</comments>
</file>

<file path=xl/sharedStrings.xml><?xml version="1.0" encoding="utf-8"?>
<sst xmlns="http://schemas.openxmlformats.org/spreadsheetml/2006/main" count="1759" uniqueCount="1105">
  <si>
    <t xml:space="preserve">Citation context validation set</t>
  </si>
  <si>
    <t xml:space="preserve">155 rows from citation_context, stratified by match method / score band / boundary type (seed 20261012). Regenerate with: python -m validation.make_citation_context_sample</t>
  </si>
  <si>
    <t xml:space="preserve">What to edit: only the yellow columns on the 'Validation' tab (match_correct … notes). Everything else is generated.</t>
  </si>
  <si>
    <t xml:space="preserve">match_correct — does source_sentence correspond to the LLM citation_sentence?</t>
  </si>
  <si>
    <t xml:space="preserve">    Y = same sentence(s) · Partial = overlaps but too much/too little · N = wrong place · NA = unmatched row</t>
  </si>
  <si>
    <t xml:space="preserve">prev_correct / next_correct — is the neighbour the true preceding/following sentence in the document?</t>
  </si>
  <si>
    <t xml:space="preserve">    Y = correct sentence, or correctly NULL (boundary is right: a heading/table/edge really is there)</t>
  </si>
  <si>
    <t xml:space="preserve">    N = wrong sentence, a heading leaked in, or NULL when real body text was adjacent · NA = unmatched row</t>
  </si>
  <si>
    <t xml:space="preserve">truly_absent — unmatched rows only: Y if the sentence is genuinely not in the markdown (check source_window), N if it is there and was missed. NA otherwise.</t>
  </si>
  <si>
    <t xml:space="preserve">Rule being validated: context stops at headings (and tables); headings are never returned as context. Page-bottom footnotes are skipped when walking body text.</t>
  </si>
  <si>
    <t xml:space="preserve">source_window shows ±600 raw markdown chars with the matched span in ⟦ ⟧.</t>
  </si>
  <si>
    <t xml:space="preserve">Example labelled row</t>
  </si>
  <si>
    <t xml:space="preserve">stratum</t>
  </si>
  <si>
    <t xml:space="preserve">citation_sentence (LLM)</t>
  </si>
  <si>
    <t xml:space="preserve">prev_sentence</t>
  </si>
  <si>
    <t xml:space="preserve">source_sentence</t>
  </si>
  <si>
    <t xml:space="preserve">next_sentence</t>
  </si>
  <si>
    <t xml:space="preserve">match_correct</t>
  </si>
  <si>
    <t xml:space="preserve">prev_correct</t>
  </si>
  <si>
    <t xml:space="preserve">next_correct</t>
  </si>
  <si>
    <t xml:space="preserve">truly_absent</t>
  </si>
  <si>
    <t xml:space="preserve">notes</t>
  </si>
  <si>
    <t xml:space="preserve">exact</t>
  </si>
  <si>
    <t xml:space="preserve">As noted in our June 2023 comments to NTIA, these systems do not run massive neural networks…</t>
  </si>
  <si>
    <t xml:space="preserve">- **Narrow AI applications** have been used safely for decades, can be audited, and pose limited risks.</t>
  </si>
  <si>
    <t xml:space="preserve">They apply specified or defined rules that have little to no risk associated with them.</t>
  </si>
  <si>
    <t xml:space="preserve">Y</t>
  </si>
  <si>
    <t xml:space="preserve">NA</t>
  </si>
  <si>
    <t xml:space="preserve">bullet marker kept in prev; fine</t>
  </si>
  <si>
    <t xml:space="preserve">val_id</t>
  </si>
  <si>
    <t xml:space="preserve">match_method</t>
  </si>
  <si>
    <t xml:space="preserve">match_score</t>
  </si>
  <si>
    <t xml:space="preserve">n_hits</t>
  </si>
  <si>
    <t xml:space="preserve">unit_type</t>
  </si>
  <si>
    <t xml:space="preserve">prev_boundary</t>
  </si>
  <si>
    <t xml:space="preserve">next_boundary</t>
  </si>
  <si>
    <t xml:space="preserve">source_window (raw markdown, match in ⟦ ⟧)</t>
  </si>
  <si>
    <t xml:space="preserve">citation_id</t>
  </si>
  <si>
    <t xml:space="preserve">comment_id</t>
  </si>
  <si>
    <t xml:space="preserve">source_path</t>
  </si>
  <si>
    <t xml:space="preserve">body</t>
  </si>
  <si>
    <t xml:space="preserve">As a result, researchers have found that algorithms used to decide who is shown advertisements regarding employment opportunities discriminate based on race and gender, often reflecting stereotypes about who works certain kinds of jobs.24</t>
  </si>
  <si>
    <t xml:space="preserve">For example, algorithms that are developed using a data set where people of color are underrepresented among doctors, lawyers, and other professions, or where women are more often nurses and men are more often doctors, may take these observed patterns as a given, resulting in unfair disadvantages for people of color, women, and other protected classes.23</t>
  </si>
  <si>
    <t xml:space="preserve">Similar issues can arise when employers use ADSs to</t>
  </si>
  <si>
    <t xml:space="preserve">… applicants based on analyses of their resumes, and assessing candidate competencies.22 Unfortunately, algorithmic decision-making systems used to identify strong candidates are likely to reflect existing patterns of occupational segregation. For example, algorithms that are developed using a data set where people of color are underrepresented among doctors, lawyers, and other professions, or where women are more often nurses and men are more often doctors, may take these observed patterns as a given, resulting in unfair disadvantages for people of color, women, and other protected classes.23 ⟦As a result, researchers have found that algorithms used to decide who is shown advertisements regarding employment opportunities discriminate based on race and gender, often reflecting stereotypes about who works certain kinds of jobs.24⟧ Similar issues can arise when employers use ADSs to
&lt;sup&gt;18&lt;/sup&gt; Tech Equity Collaborative, Tech, Bias, and Housing Initiative: Tenant Screening (Feb. 23, 2022), https://techequitycollaborative.org/2022/02/23/tech-bias-and-housing-initiative-tenant-screening/. 19 Colin Lecher &amp; Maddy Varner, *L.A.'s Scoring System for Subsidized Housing Gives Black and Latino People* 
*Experiencing Homelessness Lower Priority Scores*, THE MARKUP (Feb. 28, 2023), https://themarkup.org/investigation/2023/02/28/l-a-s-scoring-system-for-subsidized-housing-gives-black-and-latinopeople-experiencing-homelessness-…</t>
  </si>
  <si>
    <t xml:space="preserve">a073c77c-ddb6-5b93-bb92-6343124c5606</t>
  </si>
  <si>
    <t xml:space="preserve">OMB-2023-0020-0121</t>
  </si>
  <si>
    <t xml:space="preserve">OMB/2023-24269/comments/comment_attachments/OMB-2023-0020-0121_1.md</t>
  </si>
  <si>
    <t xml:space="preserve">This principle should explicitly and boldly discuss, not just the issue of fairness and nondiscrimination, but the entire domain of ethical design and use of AI.3 We note with interest that the words "ethic" or "ethical" are not used once in the entire document.</t>
  </si>
  <si>
    <t xml:space="preserve">This principle should explicitly and boldly discuss, not just the issue of fairness and nondiscrimination, but the entire domain of ethical design and use of AI.&lt;sup&gt;3&lt;/sup&gt; We note with interest that the words "ethic" or "ethical" are not used once in the entire document.</t>
  </si>
  <si>
    <t xml:space="preserve">heading</t>
  </si>
  <si>
    <t xml:space="preserve">…e societal costs that should be considered, such as ethical, legal, technical, operational, and socio-economic factors, plus any unintended consequences, such as biased results, and impact on safety, and quality.
### **6. Flexibility**
We believe agencies should first consider non-regulatory approaches to AI, as well as approaches that reduce the burden of AI, before taking regulatory actions to control, oversee, restrict, or otherwise regulate AI. Any future regulations should be flexible and allow for rapid changes in technology and innovation.
### **7. Fairness and Non-Discrimination**
⟦This principle should explicitly and boldly discuss, not just the issue of fairness and nondiscrimination, but the entire domain of ethical design and use of AI.&lt;sup&gt;3&lt;/sup&gt; We note with interest that the words "ethic" or "ethical" are not used once in the entire document.⟧
### **8. Disclosure and Transparency**
&lt;sup&gt;3&lt;/sup&gt; IEEE, 2019. https://[standards.ieee.org/content/ieee-standards/en/industry-connections/ec/](https://standards.ieee.org/content/ieee-standards/en/industry-connections/ec/autonomous-systems.html) [autonomous-systems.html](https://standards.ieee.org/content/ieee-standards/en/industry-connections/ec/autonomous-systems.html)
We strongly support this principle – particularly in the form of proactive transparency practices. Disclosure and transparency should be based on nationally standardized definitions and measures of the data, methods, and u…</t>
  </si>
  <si>
    <t xml:space="preserve">03144d56-28ea-5d46-83b8-992bf3718cfa</t>
  </si>
  <si>
    <t xml:space="preserve">OMB-2020-0003-0056</t>
  </si>
  <si>
    <t xml:space="preserve">OMB/2020-00261/comments/comment_attachments/OMB-2020-0003-0056_1.md</t>
  </si>
  <si>
    <t xml:space="preserve">Research into novel basic science, such as materials science and energy storage solutions like the hybrid supercapacitors (HYCAPs) proposal detailed in at this [link,](https://drive.google.com/file/d/1mpWwDmVMDOuu0TsqZ_X5nCZRBiregkrw/view?usp=sharing) is essential to translating these advances into efficient chip hardware.</t>
  </si>
  <si>
    <t xml:space="preserve">Leading in AI hardware innovation necessitates domestic production breakthroughs, such as reversible computing, to enhance efficiency.</t>
  </si>
  <si>
    <t xml:space="preserve">Simultaneously, supporting energy needs for research demands scalable, low-power designs to reduce costs, ensuring NSF-funded projects drive transformative progress without resource constraints.</t>
  </si>
  <si>
    <t xml:space="preserve">…from \$10M to \$75M, it will lay the foundation for cross-agency adoption at NIH, DOE, and other research institutions.
## *4. HARDWARE AND INFRASTRUCTURE*
**Key Issues:** AI advancement hinges not only on cutting-edge hardware but also on novel energy/cost-effective solutionsto power computational demands. Foreign reliance on chips and high energy costs stifles private sector innovation, while research requires reliable infrastructure to remain competitive. Leading in AI hardware innovation necessitates domestic production breakthroughs, such as reversible computing, to enhance efficiency. ⟦Research into novel basic science, such as materials science and energy storage solutions like the hybrid supercapacitors (HYCAPs) proposal detailed in at this [link,](https://drive.google.com/file/d/1mpWwDmVMDOuu0TsqZ_X5nCZRBiregkrw/view?usp=sharing) is essential to translating these advances into efficient chip hardware.⟧
Simultaneously, supporting energy needs for research demands scalable, low-power designs to reduce costs, ensuring NSF-funded projects drive transformative progress without resource constraints.
**Goal:** NSF will spearhead AI chip R&amp;D , ensuring the U.S. remains at the forefront of energy/cost-efficient AI hardware development, which is most cost effective for businesses and the government. By funding foundational research in AI-specific semiconductor architectures, hybrid computing, and reversible computing, NSF will:
- Reduce AI computing energy costs, enabling scalable cost-efficient A…</t>
  </si>
  <si>
    <t xml:space="preserve">143e0b0f-658a-5dce-9c8a-1643a9bfbee8</t>
  </si>
  <si>
    <t xml:space="preserve">Melinda-Chu-RFI-2025</t>
  </si>
  <si>
    <t xml:space="preserve">NSF/2025-02305/comments/comment_attachments/Melinda-Chu-RFI-2025_1.md</t>
  </si>
  <si>
    <t xml:space="preserve">The Biden Administration has made strengthening and empowering the federal workforce a top priority of the President's Management Agenda.</t>
  </si>
  <si>
    <t xml:space="preserve">**● Federal encouragement for skills-based approaches to talent.**</t>
  </si>
  <si>
    <t xml:space="preserve">The Biden Administration has made strengthening and empowering the federal workforce a top [priority](https://www.performance.gov/pma/workforce/) of the President's Management Agenda.</t>
  </si>
  <si>
    <t xml:space="preserve">In addition, the White House Office of Personnel Management released federal [Skills-Based](https://chcoc.gov/content/guidance-release-eo-13932-modernizing-and-reforming-assessment-and-hiring-federal-job) Hiring Guidance in 2022, driving recognition by the Biden administration of the importance of a skills-based approach, and building on efforts that now span the last two administrations.</t>
  </si>
  <si>
    <t xml:space="preserve">…worker skills, drive informed decision-making in the current and future job market, and maximize the impact of workforce development efforts by helping target policy interventions. As policymakers consider AI and the future of work, we encourage a full consideration of not only the impact technology can have, but also the opportunities AI can [unlock](https://blog.workday.com/en-us/2023/how-skills-based-organizations-can-use-ai-create-jobs-tomorrow.html) when applied to driving skills-based approaches to talent. We recommend:
**● Federal encouragement for skills-based approaches to talent.** ⟦The Biden Administration has made strengthening and empowering the federal workforce a top [priority](https://www.performance.gov/pma/workforce/) of the President's Management Agenda.⟧ In addition, the White House Office of Personnel Management released federal [Skills-Based](https://chcoc.gov/content/guidance-release-eo-13932-modernizing-and-reforming-assessment-and-hiring-federal-job) Hiring Guidance in 2022, driving recognition by the Biden administration of the importance of a skills-based approach, and building on efforts that now span the last two administrations. In addition, the House recently passed the bipartisan *Chance to [Compete](https://www.congress.gov/bill/118th-congress/house-bill/159) Act*, which looks to provide agencies with tools to build on existing f…</t>
  </si>
  <si>
    <t xml:space="preserve">007aa05b-0757-5e72-9685-72a7b0f42d50</t>
  </si>
  <si>
    <t xml:space="preserve">NTIA-2023-0005-0808</t>
  </si>
  <si>
    <t xml:space="preserve">NTIA/2023-07776/comments/comment_attachments/NTIA-2023-0005-0808_1.md</t>
  </si>
  <si>
    <t xml:space="preserve">Many of the problems long-known to be present in every existing language model70 will continue to fester and grow until the limitations of language models are as familiar to consumers as warnings that snack bars may contain peanuts and until the claims made by AI companies are as reliable and enforceable as claims that a food does not contain gluten.</t>
  </si>
  <si>
    <t xml:space="preserve">Generative AI technology has only recently been widely available, and yet examples abound of misuse causing substantial personal and professional harm, such as a college professor who asked ChatGPT if it wrote students' essays&lt;sup&gt;68&lt;/sup&gt; (it erroneously said it did) and lawyers who relied on ChatGPT to prepare briefs in a court proceeding ChatGPT&lt;sup&gt;69&lt;/sup&gt; (it prepared fake citations and fake court opinions).</t>
  </si>
  <si>
    <t xml:space="preserve">Many of the problems long-known to be present in every existing language model&lt;sup&gt;70&lt;/sup&gt; will continue to fester and grow until the limitations of language models are as familiar to consumers as warnings that snack bars may contain peanuts and until the claims made by AI companies are as reliable and enforceable as claims that a food does not contain gluten.</t>
  </si>
  <si>
    <t xml:space="preserve">Requiring standardized labeling would of course not resolve every policy issue raised by generative AI, but it would help lessen accidental misuse of the technology.</t>
  </si>
  <si>
    <t xml:space="preserve">…d products with complex risks—whether pharmaceuticals or generative AI—need to have and which they should not have to hunt down through piles of scattered documentation and papers.
Generative AI technology has only recently been widely available, and yet examples abound of misuse causing substantial personal and professional harm, such as a college professor who asked ChatGPT if it wrote students' essays&lt;sup&gt;68&lt;/sup&gt; (it erroneously said it did) and lawyers who relied on ChatGPT to prepare briefs in a court proceeding ChatGPT&lt;sup&gt;69&lt;/sup&gt; (it prepared fake citations and fake court opinions). ⟦Many of the problems long-known to be present in every existing language model&lt;sup&gt;70&lt;/sup&gt; will continue to fester and grow until the limitations of language models are as familiar to consumers as warnings that snack bars may contain peanuts and until the claims made by AI companies are as reliable and enforceable as claims that a food does not contain gluten.⟧
Requiring standardized labeling would of course not resolve every policy issue raised by generative AI, but it would help lessen accidental misuse of the technology. It would also help impose discipline on an industry prone to overstating the technology's current capabilities while simultaneously disclaiming all representations and warranties in the fine print.
&lt;sup&gt;67&lt;/sup&gt; See, e.g., &lt;u&gt;https://huggingface.co/docs/hub/model-card-annotated&lt;/u&gt;
 $\underline{https://www.rollingstone.com/culture/culture-features/texas-am-chatgpt-ai-professor-flunks-students-features/texas-am-chatgpt-ai-profe…</t>
  </si>
  <si>
    <t xml:space="preserve">113e6a93-a305-565b-8dbf-7d32437393d5</t>
  </si>
  <si>
    <t xml:space="preserve">NTIA-2023-0005-1272</t>
  </si>
  <si>
    <t xml:space="preserve">NTIA/2023-07776/comments/comment_attachments/NTIA-2023-0005-1272_1.md</t>
  </si>
  <si>
    <t xml:space="preserve">Launch pilot programs for regional AI hubs to empower localities to become first movers in their region to adopt emerging technologies.15</t>
  </si>
  <si>
    <t xml:space="preserve">Launch pilot programs for regional AI hubs to empower localities to become first movers in their region to adopt emerging technologies.</t>
  </si>
  <si>
    <t xml:space="preserve">Foster local AI ecosystems to accelerate technology innovation and adoption.</t>
  </si>
  <si>
    <t xml:space="preserve">…4).
&lt;sup&gt;14&lt;/sup&gt; Fueling Innovation: Insights into Federal AI R&amp;D Investment, Special Competitive Studies Project at 8 (2024); Final Report, National Security Commission on Artificial Intelligence at 188 (2021).
# 2. Forging Public-Private Partnerships for AI Advancement
Realizing the full potential of AI and securing U.S. leadership requires robust collaboration between government, industry, academia, and other stakeholders. Strategic public-private partnerships are essential for scaling AI resources, widening access, and accelerating innovation.
### ● **Regional Innovation Zones15**
- ⟦Launch pilot programs for regional AI hubs to empower localities to become first movers in their region to adopt emerging technologies.⟧
- Foster local AI ecosystems to accelerate technology innovation and adoption.
### ● **Finance Mechanism for Advanced AI Infrastructure**
○ Utilize the creation of a U.S. Sovereign Wealth Fund to invest in capitalintensive, large-scale AI infrastructure and AI-enabled technologies that are critical to national security.16
### ● **Federal Data Utility Hub**
- Establish a shared data hub to increase Americans' access to high-value government datasets for research and everyday tasks. The data hub should:
  - Empower individuals, startups, and small businesses to drive scientific advancements…</t>
  </si>
  <si>
    <t xml:space="preserve">dce71877-7bf4-5419-9b7c-d266449fc9eb</t>
  </si>
  <si>
    <t xml:space="preserve">SCSP-AI-RFI-2025</t>
  </si>
  <si>
    <t xml:space="preserve">NSF/2025-02305/comments/comment_attachments/SCSP-AI-RFI-2025_1.md</t>
  </si>
  <si>
    <t xml:space="preserve">In many of these systems, 15 the computation of the aggregate is distributed amongst multiple servers as follows: Clients "split" their measurements into multiple "secret shares" and send one share to each server.</t>
  </si>
  <si>
    <t xml:space="preserve">These works draw from and build on a wide variety of sub-disciplines of cryptography, including zero-knowledge proof systems, (partially) homomorphic encryption, oblivious transfer, and others.</t>
  </si>
  <si>
    <t xml:space="preserve">Once all the shares have been uploaded, the servers use them to reconstruct the desired aggregate result.</t>
  </si>
  <si>
    <t xml:space="preserve">…ith the academic community. Through journal articles, conference papers, and other artifacts, researchers provide critical insights into the (in)security of proposed protocols and, especially in the case of PPM, devise solutions for specific problems. We have seen a number of papers in recent years proposing multi-party computation (MPC) schemes for specific (classes of) secure data aggregation tasks. These works draw from and build on a wide variety of sub-disciplines of cryptography, including zero-knowledge proof systems, (partially) homomorphic encryption, oblivious transfer, and others.
⟦In many of these systems, 15 the computation of the aggregate is distributed amongst multiple servers as follows: Clients "split" their measurements into multiple "secret shares" and send one share to each server.⟧ Once all the shares have been uploaded, the servers use them to reconstruct the desired aggregate result. Splitting the measurements into secret shares ensures they are kept secret: As long as at least one server executes the protocol honestly, no individual's measurement is ever observed in the clear. At the same time, many of these systems are designed to ensure that the result is always computed correctly, even in the presence of malicious (or merely misconfigured) clients that would otherwise provide invalid inputs to the computation.
This paradigm improves significantly upon the status …</t>
  </si>
  <si>
    <t xml:space="preserve">d11d8d57-1ece-57a1-bd24-a7dd862234a3</t>
  </si>
  <si>
    <t xml:space="preserve">Cloudflare-PET-RFI-Response-2022</t>
  </si>
  <si>
    <t xml:space="preserve">OSTP/2022-12432/comments/comment_attachments/Cloudflare-PET-RFI-Response-2022_1.md</t>
  </si>
  <si>
    <t xml:space="preserve">These efforts have included contribution to the development of technical standards,3 pioneering work facilitating real-time analysis of suspected deepfakes that can have important consequences for democracy and human rights,4 policy input to technology companies and legislators,5 experimentation with generative AI tools for human rights advocacy,6 public education and advocacy,7 US congressional testimonies,8 and in-depth consultations with activists, journalists, content creators, technologists and other members of civil society.9</t>
  </si>
  <si>
    <t xml:space="preserve">Since 2018, WITNESS has led a global effort, *Prepare, Don't Panic*, to understand how deepfake and synthetic media technologies, and more recently large language models (LLMs) and generative AI, are impacting citizens and communities in the US and globally, and to prepare accordingly.&lt;sup&gt;2&lt;/sup&gt;</t>
  </si>
  <si>
    <t xml:space="preserve">These efforts have included contribution to the development of technical standards,&lt;sup&gt;3&lt;/sup&gt; pioneering work facilitating real-time analysis of suspected deepfakes that can have important consequences for democracy and human rights,&lt;sup&gt;4&lt;/sup&gt; policy input to technology companies and legislators,&lt;sup&gt;5&lt;/sup&gt; experimentation with generative AI tools for human rights advocacy,&lt;sup&gt;6&lt;/sup&gt; public education and advocacy,&lt;sup&gt;7&lt;/sup&gt; US congressional testimonies,&lt;sup&gt;8&lt;/sup&gt; and in-depth consultations with activists, journalists, content creators, technologists and other members of civil society.&lt;sup&gt;9&lt;/sup&gt;</t>
  </si>
  <si>
    <t xml:space="preserve">In response to the US National Institute of Standards and Technology's (NIST) Request for Information to assist in carrying out several of its responsibilities under the Executive order on Safe, Secure, and Trustworthy Development and Use of Artificial Intelligence issued on October 30, 2023, we have divided our submission into two sections.</t>
  </si>
  <si>
    <t xml:space="preserve">…technologies that have the potential to enhance or undermine society's trust in audiovisual content. Building upon years of WITNESS' foundational research and global advocacy on synthetic media, we've been preparing for the impact of artificial intelligence (AI) on our ability to discern the truth.
Since 2018, WITNESS has led a global effort, *Prepare, Don't Panic*, to understand how deepfake and synthetic media technologies, and more recently large language models (LLMs) and generative AI, are impacting citizens and communities in the US and globally, and to prepare accordingly.&lt;sup&gt;2&lt;/sup&gt; ⟦These efforts have included contribution to the development of technical standards,&lt;sup&gt;3&lt;/sup&gt; pioneering work facilitating real-time analysis of suspected deepfakes that can have important consequences for democracy and human rights,&lt;sup&gt;4&lt;/sup&gt; policy input to technology companies and legislators,&lt;sup&gt;5&lt;/sup&gt; experimentation with generative AI tools for human rights advocacy,&lt;sup&gt;6&lt;/sup&gt; public education and advocacy,&lt;sup&gt;7&lt;/sup&gt; US congressional testimonies,&lt;sup&gt;8&lt;/sup&gt; and in-depth consultations with activists, journalists, content creators, technologists and other members of civil society.&lt;sup&gt;9&lt;/sup&gt;⟧
In response to the US National Institute of Standards and Technology's (NIST) Request for Information to assist in carrying out several of its responsibilities under the Executive order on Safe, Secure, and Trustworthy Development and Use of Artificial Intelligence issued on October 30, 2023, we have divided our submission into two sections.
In the first section we overview a number of risks with current approaches to AI transparency, including indirect disclosure mechanisms such as watermarking, fingerprinting, and signed metadata. We also highlight the importance of centering the experien…</t>
  </si>
  <si>
    <t xml:space="preserve">1bb85296-62c7-5d26-8795-136ca18762d9</t>
  </si>
  <si>
    <t xml:space="preserve">NIST-2023-0009-0194</t>
  </si>
  <si>
    <t xml:space="preserve">NIST/2023-28232/comments/comment_attachments/NIST-2023-0009-0194_1.md</t>
  </si>
  <si>
    <t xml:space="preserve">We support the approach that the Executive Order takes toward addressing these risks, that is to say, by requiring Infrastructure as a Service (IaaS) providers to keep records in order to identify their customers and report acquisitions of computing services above a certain capacity threshold.24</t>
  </si>
  <si>
    <t xml:space="preserve">**b. Are there effective ways to create safeguards around foundation models, either to ensure that model weights do not become available, or to protect system integrity or human well-being (including privacy) and reduce security risks in those cases where weights are widely available?**</t>
  </si>
  <si>
    <t xml:space="preserve">We support the approach that the Executive Order takes toward addressing these risks, that is to say, by requiring Infrastructure as a Service (IaaS) providers to keep records in order to identify their customers and report acquisitions of computing services above a certain capacity threshold.&lt;sup&gt;24&lt;/sup&gt;</t>
  </si>
  <si>
    <t xml:space="preserve">We believe that this approach strikes the right balance to allow good faith research and development of dual use models while discouraging bad actors and helping enforcers take action against entities seeking to develop or deploy harmful applications.&lt;sup&gt;25&lt;/sup&gt;</t>
  </si>
  <si>
    <t xml:space="preserve">…a period of time. Lacking this infrastructure will limit a dual use model's potential impacts.
- **5. What are the safety-related or broader technical issues involved in managing risks and amplifying benefits of dual-use foundation models with widely available model weights?**
- **b. Are there effective ways to create safeguards around foundation models, either to ensure that model weights do not become available, or to protect system integrity or human well-being (including privacy) and reduce security risks in those cases where weights are widely available?**
![](_page_14_Picture_0.jpeg)
⟦We support the approach that the Executive Order takes toward addressing these risks, that is to say, by requiring Infrastructure as a Service (IaaS) providers to keep records in order to identify their customers and report acquisitions of computing services above a certain capacity threshold.&lt;sup&gt;24&lt;/sup&gt;⟧ We believe that this approach strikes the right balance to allow good faith research and development of dual use models while discouraging bad actors and helping enforcers take action against entities seeking to develop or deploy harmful applications.&lt;sup&gt;25&lt;/sup&gt; We note, however, that nation-states and very wealthy individuals could acquire computing resources through other channels, without triggering the reporting requirement.
**f. Which components of a foundation model need to be available, and to whom, in order to analyze, evaluate, certify, or red-team the model? To the extent possibl…</t>
  </si>
  <si>
    <t xml:space="preserve">5808f98e-d9f1-5b0c-8ac2-d4832badd7db</t>
  </si>
  <si>
    <t xml:space="preserve">NTIA-2023-0009-0250</t>
  </si>
  <si>
    <t xml:space="preserve">NTIA/2024-03763/comments/comment_attachments/NTIA-2023-0009-0250_1.md</t>
  </si>
  <si>
    <t xml:space="preserve">Absent baseline federal protections for personal data, states have been actively filling the void by passing privacy laws that are now increasingly being viewed as vehicles to address policy concerns related to AI.5</t>
  </si>
  <si>
    <t xml:space="preserve">Yet there remains a significant underlying need for the United States to lead the world in our standards for the use of **personal data** - which impacts the overlapping concepts of privacy, data protection, cybersecurity, competitiveness, and individual autonomy and human flourishing.</t>
  </si>
  <si>
    <t xml:space="preserve">Absent baseline federal protections for personal data, states have been actively filling the void by passing privacy laws that are now increasingly being viewed as vehicles to address policy concerns related to AI.&lt;sup&gt;5&lt;/sup&gt;</t>
  </si>
  <si>
    <t xml:space="preserve">Other legal concepts, such as consumer protection law, product liability, negligence, and civil rights law, are also being applied to AI.</t>
  </si>
  <si>
    <t xml:space="preserve">…federal-government and https://www.whitehouse.gov/wp-content/uploads/2020/11/M-21-06.pdf
![](_page_2_Picture_0.jpeg)
In many cases, we are not convinced that it is always effective to broadly regulate the category of "artificial intelligence" per se, which is quickly becoming equivalent to "most technology." Yet there remains a significant underlying need for the United States to lead the world in our standards for the use of **personal data** - which impacts the overlapping concepts of privacy, data protection, cybersecurity, competitiveness, and individual autonomy and human flourishing.
⟦Absent baseline federal protections for personal data, states have been actively filling the void by passing privacy laws that are now increasingly being viewed as vehicles to address policy concerns related to AI.&lt;sup&gt;5&lt;/sup&gt;⟧ Other legal concepts, such as consumer protection law, product liability, negligence, and civil rights law, are also being applied to AI. While this approach brings promise of benefits to consumers, it also raises a real risk of a multiple-state divergence and overlapping regulatory overload for businesses in the answers to core legal questions, such as:
- Can first party data (e.g., on a social media platform) be re-purposed to train AI models without individual consent?
- What constitutes "de-identified" or "pseudonymized" data when training an AI system?
- What kind of fairness controls o…</t>
  </si>
  <si>
    <t xml:space="preserve">9b383670-1e19-5f97-974b-7e1276072b1f</t>
  </si>
  <si>
    <t xml:space="preserve">FPF-AI-RFI-2025</t>
  </si>
  <si>
    <t xml:space="preserve">NSF/2025-02305/comments/comment_attachments/FPF-AI-RFI-2025_1.md</t>
  </si>
  <si>
    <t xml:space="preserve">In October of 2021, participants in the World Wide Web Consortium (W3C) chartered the Private Advertising Technology Community Group (PATCG) [1][2][3][4] to incubate web features and application programming interfaces (APIs) that support advertising while acting in the interests of users, in particular providing strong privacy assurances.</t>
  </si>
  <si>
    <t xml:space="preserve">In recent years, a number of these parties (including Mozilla, Apple, Meta, Google, and others) have begun to redesign the mechanisms used to carry out a variety of advertising-related functions in more privacy-preserving ways.</t>
  </si>
  <si>
    <t xml:space="preserve">The CG welcomes participation from browser vendors, OS vendors, mobile application vendors, advertisers, publishers, ad buyers, advertising platforms and intermediaries, privacy advocates, web application developers, and other interested parties.</t>
  </si>
  <si>
    <t xml:space="preserve">…acy-Enhancing Technologies [Doc. 2022-12432] on behalf of Aram Zucker-Scharff and Sean Turner - members of the public.
### BACKGROUND: Private Advertising Technology in the W3C
Historically, web-based advertising has involved the collection and processing of significant amounts of data about web users by a variety of parties within the digital advertising ecosystem. In recent years, a number of these parties (including Mozilla, Apple, Meta, Google, and others) have begun to redesign the mechanisms used to carry out a variety of advertising-related functions in more privacy-preserving ways.
⟦In October of 2021, participants in the World Wide Web Consortium (W3C) chartered the Private Advertising Technology Community Group (PATCG) [1][2][3][4] to incubate web features and application programming interfaces (APIs) that support advertising while acting in the interests of users, in particular providing strong privacy assurances.⟧ The CG welcomes participation from browser vendors, OS vendors, mobile application vendors, advertisers, publishers, ad buyers, advertising platforms and intermediaries, privacy advocates, web application developers, and other interested parties.
The CG is developing use cases and requirements to better scope the private advertising problem space. A threat model is being developed that will enumerate the actors in the digital advertising ecosystem, their capabilities, potential attacks, and mitigation strategies. Mitigation strategies the CG is already investigating include technologies that…</t>
  </si>
  <si>
    <t xml:space="preserve">1428c302-0530-59e7-82e7-1c8811ea3c51</t>
  </si>
  <si>
    <t xml:space="preserve">Turner-and-Zucker-Scharff-PET-RFI-Response-2022</t>
  </si>
  <si>
    <t xml:space="preserve">OSTP/2022-12432/comments/comment_attachments/Turner-and-Zucker-Scharff-PET-RFI-Response-2022_1.md</t>
  </si>
  <si>
    <t xml:space="preserve">U.S. AI-related companies have large and growing deployment requirements, as evidenced by NVIDIA's recent results, which highlight a 142% year-on-year growth in data center revenue for fiscal year 2025, and highlight that leading U.S. technology companies are deploying advanced computing ICs in "cloud regions around the world to meet surging customer demand for AI".10 Start Campus' SINES DC is designed and permitted to host c. 1,150,000 H100-equivalent advanced computing ICs, and offers the ability for its customers to scale over time within a single location.</t>
  </si>
  <si>
    <t xml:space="preserve">Start Campus' competitive edge lies in the scale of its campus and its time-to-market – two differentiators that are fundamentally at odds with the constraints imposed on Tier 2 countries under the AI Diffusion Rule.</t>
  </si>
  <si>
    <t xml:space="preserve">U.S. AI-related companies have large and growing deployment requirements, as evidenced by NVIDIA's recent results, which highlight a 142% year-on-year growth in data center revenue for fiscal year 2025, and highlight that leading U.S. technology companies are deploying advanced computing ICs in "cloud regions around the world to meet surging customer demand for AI".&lt;sup&gt;10&lt;/sup&gt; Start Campus' SINES DC is designed and permitted to host c. 1,150,000 H100-equivalent advanced computing ICs, and offers the ability for its customers to scale over time within a single location.</t>
  </si>
  <si>
    <t xml:space="preserve">The 50,000-advanced computing IC-equivalent limit imposed under the standard export license is entirely unworkable, as it accounts for less than 5% of the advanced compute capacity that the Start Campus facility alone is designed to support.</t>
  </si>
  <si>
    <t xml:space="preserve">… restrictions would also indirectly harm U.S. companies like DKCM with significant existing and planned investment in Start Campus, as well as U.S. suppliers, as they dissuade potential customers from partnering with Start Campus.
&gt; **1. Start Campus' Inability to Leverage Its Main Differentiators in the Market May Weaken Its U.S. AI Customers' Edge in Global AI Development.**
Start Campus' competitive edge lies in the scale of its campus and its time-to-market – two differentiators that are fundamentally at odds with the constraints imposed on Tier 2 countries under the AI Diffusion Rule.
⟦U.S. AI-related companies have large and growing deployment requirements, as evidenced by NVIDIA's recent results, which highlight a 142% year-on-year growth in data center revenue for fiscal year 2025, and highlight that leading U.S. technology companies are deploying advanced computing ICs in "cloud regions around the world to meet surging customer demand for AI".&lt;sup&gt;10&lt;/sup&gt; Start Campus' SINES DC is designed and permitted to host c. 1,150,000 H100-equivalent advanced computing ICs, and offers the ability for its customers to scale over time within a single location.⟧ The 50,000-advanced computing IC-equivalent limit imposed under the standard export license is entirely unworkable, as it accounts for less than 5% of the advanced compute capacity that the Start Campus facility alone is designed to support.
Furthermore, SINES DC's ready-to-build status, and phased deployment of five additional buildings between 2025 and 2030, means that it will be able to accommodate these large quantities of advanced compute at a speed unmatched by most data center facilities worldwide. With the investment cycle for AI capacity by Start Campus' customers typically being tw…</t>
  </si>
  <si>
    <t xml:space="preserve">43a6e4af-8ea5-5338-ad92-80de4c14f59f</t>
  </si>
  <si>
    <t xml:space="preserve">DKCM-AI-RFI-2025</t>
  </si>
  <si>
    <t xml:space="preserve">NSF/2025-02305/comments/comment_attachments/DKCM-AI-RFI-2025_1.md</t>
  </si>
  <si>
    <t xml:space="preserve">Figure 2: A flowchart depicting the stages of model development, from data collection to model training[13].</t>
  </si>
  <si>
    <t xml:space="preserve">These digitized insights will be reviewed by our team and adapted to our model to ensure appropriate depth of understanding and nuanced context.</t>
  </si>
  <si>
    <t xml:space="preserve">Model Development and Data Collection:</t>
  </si>
  <si>
    <t xml:space="preserve">… and equitable spirit of renowned orthopaedic societies like the Ruth Jackson Orthopaedic Society and the American Academy of Orthopaedic Surgeons [4].
#### iv. Approach (including statistical analysis)
Starting with open access publications in orthopaedics, amass a comprehensive dataset consisting of textbook quality data consisting of open access publications and custom inputs provided by orthopaedic thought leaders. These digitized insights will be reviewed by our team and adapted to our model to ensure appropriate depth of understanding and nuanced context.
![](_page_3_Picture_0.jpeg)
⟦Figure 2: A flowchart depicting the stages of model development, from data collection to model training[13].⟧
Model Development and Data Collection:
![](_page_3_Figure_3.jpeg)
Figure 3: A schematic of how reinforcement learning with human feedback (RLHF) operates, showcasing iterative cycles of training and feedback [13].
Using the assembled dataset, the generative AI model will be trained based on generative AI industry standards. The model will be continually refined using RLHF and reinforcement learning with AI feedback (RLAIF) ensuring it remains aligned with human expert standards and expectations.Our AI model will be adept at natural language processing (NLP) and ocular character recognitio…</t>
  </si>
  <si>
    <t xml:space="preserve">5b06b0fe-1f1e-52a0-b25d-44974af530a3</t>
  </si>
  <si>
    <t xml:space="preserve">NIST-2023-0009-0167</t>
  </si>
  <si>
    <t xml:space="preserve">NIST/2023-28232/comments/comment_attachments/NIST-2023-0009-0167_1.md</t>
  </si>
  <si>
    <t xml:space="preserve">These characteristics measure the extent to which models provide information that will help users understand, interpret, and evaluate how the system functions and produces outputs, and thus answer the questions of "how" and "why" a model made a decision.24</t>
  </si>
  <si>
    <t xml:space="preserve">That is, they lack explainability and interpretability, which are among the core characteristics of trustworthy AI under the NIST AI RMF.</t>
  </si>
  <si>
    <t xml:space="preserve">These characteristics measure the extent to which models provide information that will help users understand, interpret, and evaluate how the system functions and produces outputs, and thus answer the questions of "how" and "why" a model made a decision.&lt;sup&gt;24&lt;/sup&gt;</t>
  </si>
  <si>
    <t xml:space="preserve">However, researchers have criticized generative AI for its inscrutability, and the complete lack of methods for users to understand how the model arrives at the results it generates.&lt;sup&gt;25&lt;/sup&gt;</t>
  </si>
  <si>
    <t xml:space="preserve">…emonstrate a "pervasive lack of transparency" among major generative AI developers, with "virtually no transparency about the downstream impact" of these models.&lt;sup&gt;22&lt;/sup&gt; Among the gaps and "pervasive blind spots," are that none of the developers provide a mechanism for users to seek redress.&lt;sup&gt;23&lt;/sup&gt;
Additionally, generative AI developers also may fail to provide methods for users to understand and evaluate how and why a model generates an output. That is, they lack explainability and interpretability, which are among the core characteristics of trustworthy AI under the NIST AI RMF. ⟦These characteristics measure the extent to which models provide information that will help users understand, interpret, and evaluate how the system functions and produces outputs, and thus answer the questions of "how" and "why" a model made a decision.&lt;sup&gt;24&lt;/sup&gt;⟧ However, researchers have criticized generative AI for its inscrutability, and the complete lack of methods for users to understand how the model arrives at the results it generates.&lt;sup&gt;25&lt;/sup&gt; Generative AI produces outputs that researchers have described as "artifacts," rather than verifiable "decisions," &lt;sup&gt;26&lt;/sup&gt; predictions, or estimations. Because of these models' non-deterministic nature, researchers have characterized generative AI as a "stochastic parrot" &lt;sup&gt;27&lt;/sup&gt; that often generates a different output with each use, "not based on logic or reasoning" but on the probabilit…</t>
  </si>
  <si>
    <t xml:space="preserve">daeefa79-2592-5f0d-a966-4e522e4f4ed8</t>
  </si>
  <si>
    <t xml:space="preserve">NIST-2023-0009-0164</t>
  </si>
  <si>
    <t xml:space="preserve">NIST/2023-28232/comments/comment_attachments/NIST-2023-0009-0164_1.md</t>
  </si>
  <si>
    <t xml:space="preserve">B. Law enforcement or surveillance-related risk assessments about individuals,2 criminal recidivism prediction,3 offender prediction,4 predicting perpetrators' identities,5 victim prediction,6 crime</t>
  </si>
  <si>
    <t xml:space="preserve">B. Law enforcement or surveillance-related risk assessments about individuals,2 criminal recidivism prediction,3 offender prediction,&lt;sup&gt;4&lt;/sup&gt; predicting perpetrators' identities,&lt;sup&gt;5&lt;/sup&gt; victim prediction,&lt;sup&gt;6&lt;/sup&gt; crime forecasting,&lt;sup&gt;7&lt;/sup&gt; license plate readers,&lt;sup&gt;8&lt;/sup&gt; iris matching,&lt;sup&gt;9&lt;/sup&gt; facial matching,&lt;sup&gt;10&lt;/sup&gt; facial sketching,&lt;sup&gt;11&lt;/sup&gt; genetic facial reconstruction,&lt;sup&gt;12&lt;/sup&gt; social media monitoring,&lt;sup&gt;13&lt;/sup&gt; prison monitoring,14 forensic analysis,&lt;sup&gt;15&lt;/sup&gt; forensic genetics,&lt;sup&gt;16&lt;/sup&gt; the conduct of cyber intrusions,&lt;sup&gt;17&lt;/sup&gt; physical location-monitoring devices,&lt;sup&gt;18&lt;/sup&gt; or decisions related to sentencing, parole, supervised release, probation, bail, pretrial release, or pretrial detention;19</t>
  </si>
  <si>
    <t xml:space="preserve">*Ford School of Public Policy.*</t>
  </si>
  <si>
    <t xml:space="preserve">…tems is appropriate and should not be substantially modified — it is important that the list not only includes AI systems that directly control outcomes but those that influence them, since a human is often in the loop for rights-impacting decisions. The preface states that the below AI systems should be presumed to be rights-impacting AI "if it is used to control or meaningfully influence the outcomes of any of the following activities or decisions":
#### **Purposes That Are Presumed to Be Rights-Impacting.**
- A. Decisions to block, remove, hide, or limit the reach of protected speech;1
- ⟦B. Law enforcement or surveillance-related risk assessments about individuals,2 criminal recidivism prediction,3 offender prediction,&lt;sup&gt;4&lt;/sup&gt; predicting perpetrators' identities,&lt;sup&gt;5&lt;/sup&gt; victim prediction,&lt;sup&gt;6&lt;/sup&gt; crime
&lt;sup&gt;1&lt;/sup&gt; Dixon, L., Li, J., Sorensen, J., Thain, N., &amp; Vasserman, L. (2018, December). Measuring and mitigating unintended bias in text classification. In *Proceedings of the 2018 AAAI/ACM Conference on AI, Ethics, and Society* (pp. 67-73); Thompson, A. (2017, October 25). Google's Sentiment Analyzer Thinks Being Gay Is Bad. *Vice*. &lt;https://www.vice.com/en/article/j5jmj8/google-artificial-intelligence-bias&gt; ; Jessica Guynn. Facebook while black: Users call it getting 'Zucked,' say talking about racism is censored as hate speech. USA Today. Apr. 24, 2019. [https://www.usatoday.com/story/news/2019/04/24/facebook-while-black-zucked-users-say-they-get-blocked](https://www.usatoday.com/story/news/2019/04/24/facebook-while-black-zucked-users-say-they-get-blocked-racism-discussion/2859593002/)[racism-discussion/2859593002/](https://www.usatoday.com/story/news/2019/04/24/facebook-while-black-zucked-users-say-they-get-blocked-racism-discussion/2859593002/)
&lt;sup&gt;2&lt;/sup&gt; Brayne, S. (2020). Predict and Surveil: Data, discretion, and the future of policing. *Oxford University Press*, USA.; Joh, E. E. (2016). The new surveillance discretion: Automated suspicion, big data, and policing. *Harvard Law and Policy Review*, 10, 15.
&lt;sup&gt;3&lt;/sup&gt; Angwin, J., Larson, J., Mattu, S., &amp; Kirchner, L. (2016, May 23). Machine bias: There's software used across the country to predict future criminals. And it's biased against blacks. *ProPublica*. &lt;https://www.propublica.org/article/machine-bias-risk-assessments-in-criminal-sentencing&gt; ; Dressel, J., &amp; Farid, H. (2018, January 17). The accuracy, fairness, and limits of predicting recidivism. Science advances, 4(1). &lt;https://doi.org/10.1126/sciadv.aao5580&gt;
&lt;sup&gt;4&lt;/sup&gt; Stroud, M. (2021, May 24). Heat Listed. *The Verge.* [https://www.theverge.com/c/22444020/chicago-pd-predictive](https://www.theverge.com/c/22444020/chicago-pd-predictive-policing-heat-list)[policing-heat-list](https://www.theverge.com/c/22444020/chicago-pd-predictive-policing-heat-list)
&lt;sup&gt;5&lt;/sup&gt; Brayne, S. (2020). Predict and Surveil: Data, discretion, and the future of policing. Oxford University Press, USA. &lt;sup&gt;6&lt;/sup&gt; Lipari, J. L. (2020, January 23). Advisory Concerning the Chicago Police Department's Predictive Risk Models. *Report of the Public Safety Section of The Office of Inspector General, OIG FILE #18-0106*. &lt;https://igchicago.org/wp-content/uploads/2020/01/OIG-Advisory-Concerning-CPDs-Predictive-Risk-Models-.pdf&gt; ; Mick Dumke and Frank Main. A look inside the watch list Chicago police fought to keep secret. The Chicago Sun Times. May 18, 2017. [https://chicago.suntimes.com/2017/5/18/18386116/a-look-inside-the-watch-list-chicago](https://chicago.suntimes.com/2017/5/18/18386116/a-look-inside-the-watch-list-chicago-police-fought-to-keep-secret)[police-fought-to-keep-secret](https://chicago.suntimes.com/2017/5/18/18386116/a-look-inside-the-watch-list-chicago-police-fought-to-keep-secret)
forecasting,&lt;sup&gt;7&lt;/sup&gt; license plate readers,&lt;sup&gt;8&lt;/sup&gt; iris matching,&lt;sup&gt;9&lt;/sup&gt; facial matching,&lt;sup&gt;10&lt;/sup&gt; facial sketching,&lt;sup&gt;11&lt;/sup&gt; genetic facial reconstruction,&lt;sup&gt;12&lt;/sup&gt; social media monitoring,&lt;sup&gt;13&lt;/sup&gt; prison monitoring,14 forensic analysis,&lt;sup&gt;15&lt;/sup&gt; forensic genetics,&lt;sup&gt;16&lt;/sup&gt; the conduct of cyber intrusions,&lt;sup&gt;17&lt;/sup&gt; physical location-monitoring devices,&lt;sup&gt;18&lt;/sup&gt; or decisions related to sentencing, parole, supervised release, probation, bail, pretrial release, or pretrial detention;19⟧
&lt;sup&gt;7&lt;/sup&gt; Lum, K., &amp; Isaac, W. (2016). To predict and serve?. *Significance*, *13*(5), 14-19.; Ensign, D., Friedler, S. A., Neville, S., Scheidegger, C., &amp; Venkatasubramanian, S. (2018, January). Runaway feedback loops in predictive policing. In *Conference on fairness, accountability and transparency* (pp. 160-171). *PMLR*.; Sankin, A., Mehrotra, D., Mattu, S. and Gilbertson, A. (2021, December 2). Crime Prediction Software Promised to Be Free of Biases. New Data Shows It Perpetuates Them. *The Markup*[. https://themarkup.org/prediction-bias/2021/12/02/crime](https://themarkup.org/predic…</t>
  </si>
  <si>
    <t xml:space="preserve">dc10ec6f-3d67-55da-92ec-026d50659faa</t>
  </si>
  <si>
    <t xml:space="preserve">OMB-2023-0020-0135</t>
  </si>
  <si>
    <t xml:space="preserve">OMB/2023-24269/comments/comment_attachments/OMB-2023-0020-0135_1.md</t>
  </si>
  <si>
    <t xml:space="preserve">These predictions are holding up well, with current generative AI systems inflicting substantial harms, such as the manipulation of elections, 8 fraud, 9 and nonconsensual deepfake pornography10 ; as well as the scraping of copyrighted work to train AI models, using the resulting content to compete against the very same people who created the work the models scraped.11,12</t>
  </si>
  <si>
    <t xml:space="preserve">In the short term, Professor Hinton's concern was that AIgenerated images, text, and deepfake videos would prevent people from being able to distinguish truth from falsehoods, misinformation, and impersonations; and that AI would replace many human jobs.</t>
  </si>
  <si>
    <t xml:space="preserve">These predictions are holding up well, with current generative AI systems inflicting substantial harms, such as the manipulation of elections, 8 fraud, 9 and nonconsensual deepfake pornography&lt;sup&gt;10&lt;/sup&gt; ; as well as the scraping of copyrighted work to train AI models, using the resulting content to compete against the very same people who created the work the models scraped.11,12 These harms will be increasingly difficult to mitigate, given Professor Hinton's prediction that AI systems will become smarter than humans.</t>
  </si>
  <si>
    <t xml:space="preserve">In an interview with CNN journalist Jake Tapper, Professor Hinton warned, "If it gets to be much smarter than us, it will be very good at manipulation because it would have learned that from us. And there are very few examples of a more intelligent thing being controlled by a less intelligent thing."&lt;sup&gt;13&lt;/sup&gt;</t>
  </si>
  <si>
    <t xml:space="preserve">…her of all time. He won the Turing Award for pioneering the method of deep learning, arguably the most important method in developing modern AI systems like ChatGPT. While Professor Hinton used to work on such AI systems at Google, he left the company in order to warn about the dangers posed by the very AI technology he pioneered.&lt;sup&gt;7&lt;/sup&gt; In the short term, Professor Hinton's concern was that AIgenerated images, text, and deepfake videos would prevent people from being able to distinguish truth from falsehoods, misinformation, and impersonations; and that AI would replace many human jobs. ⟦These predictions are holding up well, with current generative AI systems inflicting substantial harms, such as the manipulation of elections, 8 fraud, 9 and nonconsensual deepfake pornography&lt;sup&gt;10&lt;/sup&gt; ; as well as the scraping of copyrighted work to train AI models, using the resulting content to compete against the very same people who created the work the models scraped.11,12 These harms will be increasingly difficult to mitigate, given Professor Hinton's prediction that AI systems will become smarter than humans.⟧ In an interview with CNN journalist Jake Tapper, Professor Hinton warned, "If it gets to be much smarter than us, it will be very good at manipulation because it would have learned that from us. And there are very few examples of a more intelligent thing being controlled by a less intelligent thing."&lt;sup&gt;13&lt;/sup&gt;
Since then, AI scientists have found that even current AI systems can learn from their training the ability and tendency to manipulate humans, even if the creators of these AI systems had not intended for these systems to be manipulative and deceptive.&lt;sup&gt;14&lt;/sup&gt; It is important t…</t>
  </si>
  <si>
    <t xml:space="preserve">5c291adf-0b8d-51f0-b3d5-499275f76c4b</t>
  </si>
  <si>
    <t xml:space="preserve">NIST-2023-0009-0024</t>
  </si>
  <si>
    <t xml:space="preserve">NIST/2023-28232/comments/comment_attachments/NIST-2023-0009-0024_1.md</t>
  </si>
  <si>
    <t xml:space="preserve">Vinícius Trevisan. Towards Data Science, Medium. Jan 17, 2022. https:// [25] towardsdatascience.com/using-shap-values-to-explain-how-your-machine-learning-modelworks-732b3f40e137</t>
  </si>
  <si>
    <t xml:space="preserve">Lizzie Kumar personal website, [https://iekumar.com/.](https://iekumar.com/)</t>
  </si>
  <si>
    <t xml:space="preserve">Vinícius Trevisan. Towards Data Science, Medium. Jan 17, 2022. https:// [25](#page-8-8) towardsdatascience.com/using-shap-values-to-explain-how-your-machine-learning-modelworks-732b3f40e137</t>
  </si>
  <si>
    <t xml:space="preserve">W. Kruskal, *Relative importance by averaging over orderings*, The American Statistician, [26](#page-8-9) 41(1):6–10, 1987.</t>
  </si>
  <si>
    <t xml:space="preserve">…age-8-5)
&lt;span id="page-8-0"&gt;&lt;/span&gt;[&lt;sup&gt;23&lt;/sup&gt;](#page-8-6) S. Hart, *Shapley Value*, in The New Palgrave Dictionary of Economics 1-6 (1987), https:// doi.org/10.1057/978-1-349-95121-5\_1369-1.
&lt;span id="page-8-1"&gt;&lt;/span&gt;[&lt;sup&gt;24&lt;/sup&gt;](#page-8-7) This description is based on an overview of how SHAPley Values work intended for a layperson as provided by Elizabeth Kumar, a Computer Science PhD candidate at Brown University, during interviews conducted by WPF in April and November 2023. Lizzie Kumar personal website, [https://iekumar.com/.](https://iekumar.com/)
&lt;span id="page-8-2"&gt;&lt;/span&gt;⟦Vinícius Trevisan. Towards Data Science, Medium. Jan 17, 2022. https:// [25](#page-8-8) towardsdatascience.com/using-shap-values-to-explain-how-your-machine-learning-modelworks-732b3f40e137⟧
&lt;span id="page-8-3"&gt;&lt;/span&gt;W. Kruskal, *Relative importance by averaging over orderings*, The American Statistician, [26](#page-8-9) 41(1):6–10, 1987.
&lt;span id="page-8-4"&gt;&lt;/span&gt;I. Elizabeth Kumar et al., *Problems with Shapley-value-based explanations as feature* [27](#page-8-10) *importance measures.*
&lt;span id="page-8-5"&gt;&lt;/span&gt;Harmanpreet Kaur et al., *Interpreting interpretability: Understanding data scientists use of* [28](#page-8-11) *interpretability tools for machine learning, CHI '20 Proceedings of the 2020 CHI Conference on Human Factors in Computing Systems*, Ass'n for Computing…</t>
  </si>
  <si>
    <t xml:space="preserve">1db47dd0-f477-59c3-a165-93c9417661a3</t>
  </si>
  <si>
    <t xml:space="preserve">OMB-2023-0020-0042</t>
  </si>
  <si>
    <t xml:space="preserve">OMB/2023-24269/comments/comment_attachments/OMB-2023-0020-0042_1.md</t>
  </si>
  <si>
    <t xml:space="preserve">U.S. Army, Project Linchpin</t>
  </si>
  <si>
    <t xml:space="preserve">➢ *[U.S. Army, Project Linchpin](https://peoiews.army.mil/2023/10/02/army-announces-awards-in-support-of-project-linchpin/)*</t>
  </si>
  <si>
    <t xml:space="preserve">➢ *[Improving patient outcomes with Guidehouse, Red Hat, and AI](https://www.youtube.com/watch?v=f4HrI6bWaVg)*</t>
  </si>
  <si>
    <t xml:space="preserve">…h international policy development for AI governance, contributing technical expertise and implementation perspective to emerging frameworks. The company's practical experience with enterprise AI deployment informs realistic approaches to governance that balance innovation with appropriate controls. This engagement helps ensure that regulatory frameworks are technically feasible and effectively address legitimate concerns without unnecessarily constraining beneficial applications.
## **AI Customers**
![](_page_15_Picture_7.jpeg)
*Figure 1. AI/ML customers* 
![](_page_16_Picture_1.jpeg)
- ⟦➢ *[U.S. Army, Project Linchpin](https://peoiews.army.mil/2023/10/02/army-announces-awards-in-support-of-project-linchpin/)*⟧
- ➢ *[Improving patient outcomes with Guidehouse, Red Hat, and AI](https://www.youtube.com/watch?v=f4HrI6bWaVg)*
- ➢ *[Banco Galicia incorporates new business clients in a matter of minutes with the intelligent NLP](https://www.redhat.com/en/success-stories/banco-galicia-NLP)  [platform](https://www.redhat.com/en/success-stories/banco-galicia-NLP)*</t>
  </si>
  <si>
    <t xml:space="preserve">ef43667d-6888-5d37-9d45-2de1f9c17c7e</t>
  </si>
  <si>
    <t xml:space="preserve">Red-Hat-RFI-2025</t>
  </si>
  <si>
    <t xml:space="preserve">NSF/2025-02305/comments/comment_attachments/Red-Hat-RFI-2025_1.md</t>
  </si>
  <si>
    <t xml:space="preserve">In a recent [report] on smart manufacturing, my colleagues and I conclude that AI is suited to applications based on large amounts of high-quality data and will be resilient to potential errors because of one or more of three factors: (1) the consequences of failure are minimal; (2) the context is constrained; and (3) a human overseer is present.</t>
  </si>
  <si>
    <t xml:space="preserve">As someone who has studied the application of AI in government and industry, I believe the draft guidance should be informed by current experience, of which there is no shortage.</t>
  </si>
  <si>
    <t xml:space="preserve">In a recent [report](https://manufacturingpolicy.indiana.edu/doc/Smart%20Factories.pdf) on smart manufacturing, my colleagues and I conclude that AI is suited to applications based on large amounts of high-quality data and will be resilient to potential errors because of one or more of three factors: (1) the consequences of failure are minimal; (2) the context is constrained; and (3) a human overseer is present.</t>
  </si>
  <si>
    <t xml:space="preserve">A manufacturing environment is a good candidate for AI applications—data are plentiful, the environment is restricted within clear operating parameters, and trained humans oversee automated systems.</t>
  </si>
  <si>
    <t xml:space="preserve">…0/02/04/slater-white-house-ai-policies-permissionless-innovation/) the development and circulation of products or services without prior approval from regulators. Supporters have [argued](https://itif.org/publications/2019/02/04/ten-ways-precautionary-principle-undermines-progress-artificial-intelligence) that the dynamic, boundary-pushing innovation principle is better than the restrictive precautionary principle.
As someone who has studied the application of AI in government and industry, I believe the draft guidance should be informed by current experience, of which there is no shortage.
⟦In a recent [report](https://manufacturingpolicy.indiana.edu/doc/Smart%20Factories.pdf) on smart manufacturing, my colleagues and I conclude that AI is suited to applications based on large amounts of high-quality data and will be resilient to potential errors because of one or more of three factors: (1) the consequences of failure are minimal; (2) the context is constrained; and (3) a human overseer is present.⟧ A manufacturing environment is a good candidate for AI applications—data are plentiful, the environment is restricted within clear operating parameters, and trained humans oversee automated systems.
Indeed, within the last five years, technological progress has led manufacturers to [employ](https://manufacturingpolicy.indiana.edu/news-publications/publications/insight/archives/insight-052019.html) AI for a wide variety of purposes: workforce training; product design; production process improvement; quality control; predictive maintenance; supply-chain optimization; distribution of goods; and…</t>
  </si>
  <si>
    <t xml:space="preserve">d6ecd909-24f8-5bd0-b27a-ec26dbf0b254</t>
  </si>
  <si>
    <t xml:space="preserve">OMB-2020-0003-0026</t>
  </si>
  <si>
    <t xml:space="preserve">OMB/2020-00261/comments/comment_attachments/OMB-2020-0003-0026_1.md</t>
  </si>
  <si>
    <t xml:space="preserve">In a world where AI is likely to be the control layer for how we engage with the world, how it is allowed to operate will influence what we consume, say, and think.40</t>
  </si>
  <si>
    <t xml:space="preserve">Open Models also prevent a limited group of gatekeeping stakeholders from determining what outputs are and are not considered socially acceptable.</t>
  </si>
  <si>
    <t xml:space="preserve">In a world where AI is likely to be the control layer for how we engage with the world, how it is allowed to operate will influence what we consume, say, and think.</t>
  </si>
  <si>
    <t xml:space="preserve">Closed Models put control over those decisions in the hands of the concentrated few, powerful companies and individuals who get to pick and choose what we consume and say based on their view of what is good for society.</t>
  </si>
  <si>
    <t xml:space="preserve">…l weights, since poorly selected or otherwise biased or unrepresentative training data, in addition to manipulated prompts or weights, may infect a model in a way that otherwise is difficult to detect. In contrast, Open Models not only allow developers to dissect a model's weights and training data to find its flaws and biases, but also enable developers to improve the models, or develop new ones, to fix those flaws, limit bias, and reduce errors.
Open Models also prevent a limited group of gatekeeping stakeholders from determining what outputs are and are not considered socially acceptable. ⟦In a world where AI is likely to be the control layer for how we engage with the world, how it is allowed to operate will influence what we consume, say, and think.⟧ Closed Models put control over those decisions in the hands of the concentrated few, powerful companies and individuals who get to pick and choose what we consume and say based on their view of what is good for society. As a result, outputs may reflect only the limited perspectives and biases contained within largely ideologically uniform Closed Model development teams and, through offering only these limited perspectives, unnaturally shape public opinion to match their own. Additionally, those same teams are often solely responsible for evaluating, identifying and correcting biased outputs—a…</t>
  </si>
  <si>
    <t xml:space="preserve">7d3cbef6-8f98-5625-a6df-b24f804236bb</t>
  </si>
  <si>
    <t xml:space="preserve">NTIA-2023-0009-0252</t>
  </si>
  <si>
    <t xml:space="preserve">NTIA/2024-03763/comments/comment_attachments/NTIA-2023-0009-0252_1.md</t>
  </si>
  <si>
    <t xml:space="preserve">The U.S. pioneered the development of data privacy law and norms in the 1970s, with the Privacy Act and the Fair Information Practice Principles responding to the computerization of commerce and public administration.</t>
  </si>
  <si>
    <t xml:space="preserve">rights-centered framework can help address some of the most egregious societal harms caused by AI and thwart such harms from occurring in the future.</t>
  </si>
  <si>
    <t xml:space="preserve">The deep historical roots of respect for privacy and data protection in this country provide a foundation for the necessary steps we now must take.</t>
  </si>
  <si>
    <t xml:space="preserve">…Intelligence Act – recommendations on public transparency*, Algorithm Watch (Apr. 2022), [https://algorithmwatch.org/en/wp-content/uploads/2022/04/Database-issue-paperApril2022.pdf.](https://algorithmwatch.org/en/wp-content/uploads/2022/04/Database-issue-paperApril2022.pdf)
&lt;sup&gt;32&lt;/sup&gt; *Ensure rights and redress for people impacted by AI Systems*, &lt;https://edri.org/wp-content/uploads/2022/05/Rights-and-Redress-AIA-Amendments-for-online.pdf&gt;
rights-centered framework can help address some of the most egregious societal harms caused by AI and thwart such harms from occurring in the future.
⟦The U.S. pioneered the development of data privacy law and norms in the 1970s, with the Privacy Act and the Fair Information Practice Principles responding to the computerization of commerce and public administration.⟧ &lt;sup&gt;33&lt;/sup&gt; The deep historical roots of respect for privacy and data protection in this country provide a foundation for the necessary steps we now must take. In addition to vigorous enforcement of a comprehensive federal data protection regulation and safeguards such as human rights impact assessments, software transparency, and the availability of datasets for public scrutiny, any upcoming regulatory proposals in the U.S. must establish clear limitations on what can be considered lawful uses of AI. Below we highlight a few harmful uses of AI systems:
*Uses of AI to infer emotions and ge…</t>
  </si>
  <si>
    <t xml:space="preserve">ac3f1b40-611b-54e9-999b-b1f909b0c46c</t>
  </si>
  <si>
    <t xml:space="preserve">NTIA-2023-0005-0616</t>
  </si>
  <si>
    <t xml:space="preserve">NTIA/2023-07776/comments/comment_attachments/NTIA-2023-0005-0616_1.md</t>
  </si>
  <si>
    <t xml:space="preserve">An energy grid equipped with digital solutions (such as Cisco's Distribution Automation and Advanced Metering Infrastructure technologies) provides smart monitoring and energy management capabilities for intermittent and distributed generation to ensure efficient and reliable power delivery, advanced analytics to manage load shedding and peak shaving, and automated data collection to reduce maintenance costs.[20]</t>
  </si>
  <si>
    <t xml:space="preserve">However, with this challenge comes an opportunity to modernize the electricity grid and embed energy efficiency within data center operations to ensure the U.S. can meet future power demands.</t>
  </si>
  <si>
    <t xml:space="preserve">An energy grid equipped with digital solutions (such as Cisco's Distribution Automation and Advanced Metering Infrastructure technologies) provides smart monitoring and energy management capabilities for intermittent and distributed generation to ensure efficient and reliable power delivery, advanced analytics to manage load shedding and peak shaving, and automated data collection to reduce maintenance costs.[20](#page-4-3)</t>
  </si>
  <si>
    <t xml:space="preserve">Data centers can also reduce energy costs and maximize resources with energy efficient technology.</t>
  </si>
  <si>
    <t xml:space="preserve">…pacity to accommodate more distributed and variable energy sources and to withstand extreme weather impacts. Aging infrastructure also carries a higher risk of failure that could negatively impact local communities. Given the establishment of data centers as critical infrastructure, ensuring data centers have reliable and affordable energy is challenge government and industry must work together to meet.
However, with this challenge comes an opportunity to modernize the electricity grid and embed energy efficiency within data center operations to ensure the U.S. can meet future power demands. ⟦An energy grid equipped with digital solutions (such as Cisco's Distribution Automation and Advanced Metering Infrastructure technologies) provides smart monitoring and energy management capabilities for intermittent and distributed generation to ensure efficient and reliable power delivery, advanced analytics to manage load shedding and peak shaving, and automated data collection to reduce maintenance costs.[20](#page-4-3)⟧
Data centers can also reduce energy costs and maximize resources with energy efficient technology. [21](#page-4-4) The Federal Energy Management Program (FEMP), notes that ICT equipment "can account for over half of the entire facility's energy usage" and therefore recommends use of energy efficient equipment, which can "significantly reduce these loads," and help boost Power Usage Effectiveness, a key efficiency metric for data center operations.[22](#page-4-5) The federal government should promote the use of energy efficient IT equipment in data centers (e.g., routers, servers, and process…</t>
  </si>
  <si>
    <t xml:space="preserve">2d35156a-5785-59e4-8341-2dc11963ed95</t>
  </si>
  <si>
    <t xml:space="preserve">Cisco-AI-RFI-2025</t>
  </si>
  <si>
    <t xml:space="preserve">NSF/2025-02305/comments/comment_attachments/Cisco-AI-RFI-2025_1.md</t>
  </si>
  <si>
    <t xml:space="preserve">Some of these tools rely on assessments of observable physical factors like facial or voice recognition,27 despite the fact that these technologies are less accurate at assessing people with darker skin28 and the voices of Black people.29</t>
  </si>
  <si>
    <t xml:space="preserve">Finally, several companies market products to employers that they claim can reliably extrapolate personality traits and predict social outcomes, such as job performance.26</t>
  </si>
  <si>
    <t xml:space="preserve">As such, they may produce inaccurate results for people of color.</t>
  </si>
  <si>
    <t xml:space="preserve">… 30, https://www.ftc.gov/system/files/documents/public\_events/1548288/privacycon-2020-muhammad\_ali.pdf; Piotr Sapiezynski, et al., *Algorithms That "Don't See Color": Comparing Biases in Lookalike and Special Ad Audiences*, PROCEEDINGS OF THE 2022 AAAI/ACM CONFERENCE ON AI, ETHICS, &amp; SOCIETY (Jul. 2022), https://dl.acm.org/doi/10.1145/3514094.3534135; Ava Kofman &amp; Ariana Tobin, *Facebook Ads Can Still* 
screen resumes.25 Finally, several companies market products to employers that they claim can reliably extrapolate personality traits and predict social outcomes, such as job performance.26 ⟦Some of these tools rely on assessments of observable physical factors like facial or voice recognition,27 despite the fact that these technologies are less accurate at assessing people with darker skin28 and the voices of Black people.29⟧ As such, they may produce inaccurate results for people of color.
#### **D.** *Healthcare*
Health care providers increasingly rely on algorithms to help diagnose and treat patients, yet these algorithms can lead to Black patients to receive worse care.30 For example, although Black Americans are four times more likely to have kidney failure, the standard algorithm used around the country to determine transplant list placement explicitly uses race as a factor and puts Black patients lower on the list than white patients, even when all other factors remain identical.31 Many doctors now believ…</t>
  </si>
  <si>
    <t xml:space="preserve">d41ca44c-54a1-573a-8843-d4bfee60b327</t>
  </si>
  <si>
    <t xml:space="preserve">Section 702.7(b)(2) requires companies to report on physical and cybersecurity protections, ownership, and performance testing of their models, including red-team9 testing results.</t>
  </si>
  <si>
    <t xml:space="preserve">However, in doing so, BIS should consider any specific risks posed by AI models, rather than adopting broad mandates.</t>
  </si>
  <si>
    <t xml:space="preserve">Section 702.7(b)(2) requires companies to report on physical and cybersecurity protections, ownership, and performance testing of their models, including red-team&lt;sup&gt;9&lt;/sup&gt; testing results.</t>
  </si>
  <si>
    <t xml:space="preserve">While these are valuable tools, the broad application of these requirements could impose unnecessary compliance burdens on companies whose foundation models or computer clusters do not pose significant threats to US national security interests.</t>
  </si>
  <si>
    <t xml:space="preserve">…ts technology advances. &lt;sup&gt;8&lt;/sup&gt; While ensuring AI development is aligned with US national security concerns is paramount, this approach could discourage mission-critical investment in next-generation AI technologies by increasing operational costs and exposing proprietary information to undue scrutiny.
## **Focusing on Specific Risks, Not Blanket Reporting**
The government's stated aim is to ensure that "dual-use foundation models operate in a safe and reliable manner." However, in doing so, BIS should consider any specific risks posed by AI models, rather than adopting broad mandates. ⟦Section 702.7(b)(2) requires companies to report on physical and cybersecurity protections, ownership, and performance testing of their models, including red-team&lt;sup&gt;9&lt;/sup&gt; testing results.⟧ While these are valuable tools, the broad application of these requirements could impose unnecessary compliance burdens on companies whose foundation models or computer clusters do not pose significant threats to US national security interests. Furthermore, the red-teaming requirements may lead to the disclosure of proprietary information, which could be exploited by competitors or hostile actors, undermining America's leadership. Instead, BIS should shift its focus on clear, identifiable risks, rather than applying broad mandates across all dual-use foundation models. Specific areas of inter…</t>
  </si>
  <si>
    <t xml:space="preserve">3248e41d-88f5-5973-991a-28688377b577</t>
  </si>
  <si>
    <t xml:space="preserve">BIS-2024-0047-0006</t>
  </si>
  <si>
    <t xml:space="preserve">BIS/2024-20529/comments/comment_attachments/BIS-2024-0047-0006_1.md</t>
  </si>
  <si>
    <t xml:space="preserve">Recent practical guidance in the report "Building a Disability-Inclusive AI Ecosystem: A Cross-Disability, Cross-Systems Analysis of Best Practices"[3] can help the federal government use AI in ways that accommodate the needs of all users.</t>
  </si>
  <si>
    <t xml:space="preserve">Examples of inadvertent bias with risks to civil rights from use of AI include a resume screening tool that might bypass an excellent job candidate because of mention of accessibility work; AI-based worker surveillance that might flag a top performer who happens to have a movement disorder; or a privacy violation because of inadequate anonymization of personal health data that includes a rare disorder.</t>
  </si>
  <si>
    <t xml:space="preserve">Recent practical guidance in the report "Building a Disability-Inclusive AI Ecosystem: A Cross-Disability, Cross-Systems Analysis of Best Practices"[3](#page-0-2) can help the federal government use AI in ways that accommodate the needs of all users.</t>
  </si>
  <si>
    <t xml:space="preserve">This guidance, from the American Association of People with Disabilities (AAPD) and the Center for Democracy and Technology (CDT), suggests considerations relevant to the use of AI in different areas of federal activity, including in employment, education, benefits determination, information and communications technologies, healthcare, transportation, and criminal justice.</t>
  </si>
  <si>
    <t xml:space="preserve">…luding many temporary conditions. It is useful and efficient to build systems that accommodate potential functional differences in advance so that all can benefit from advances in technology.
Examples of inadvertent bias with risks to civil rights from use of AI include a resume screening tool that might bypass an excellent job candidate because of mention of accessibility work; AI-based worker surveillance that might flag a top performer who happens to have a movement disorder; or a privacy violation because of inadequate anonymization of personal health data that includes a rare disorder.
⟦Recent practical guidance in the report "Building a Disability-Inclusive AI Ecosystem: A Cross-Disability, Cross-Systems Analysis of Best Practices"[3](#page-0-2) can help the federal government use AI in ways that accommodate the needs of all users.⟧ This guidance, from the American Association of People with Disabilities (AAPD) and the Center for Democracy and Technology (CDT), suggests considerations relevant to the use of AI in different areas of
&lt;span id="page-0-0"&gt;&lt;/span&gt;&lt;sup&gt;1&lt;/sup&gt; "Case Studies in Disability Driven Innovation." Robert Ludke, 2025
&lt;span id="page-0-1"&gt;&lt;/span&gt;&lt;sup&gt;2&lt;/sup&gt; https://www.cdc.gov/disability-and-health/articles-documents/disability-impacts-all-of-usinfographic.html
&lt;span id="page-0-2"&gt;&lt;/span&gt;&lt;sup&gt;3&lt;/sup&gt; Building A Disability-Inclusive AI Ecosystem: A Cross-Disability, Cross-Systems Analysis of Best Pra…</t>
  </si>
  <si>
    <t xml:space="preserve">211231a1-1497-5de3-92ab-da725e5ec1b5</t>
  </si>
  <si>
    <t xml:space="preserve">Judy-Brewer-AI-RFI-2025</t>
  </si>
  <si>
    <t xml:space="preserve">NSF/2025-02305/comments/comment_attachments/Judy-Brewer-AI-RFI-2025_1.md</t>
  </si>
  <si>
    <t xml:space="preserve">National Environmental Policy Act (NEPA) environment impact statement (EIS) completion time was on average 4.5 years.17</t>
  </si>
  <si>
    <t xml:space="preserve">The difficulty of securing local and state permits is compounded by environmental regulations that make the use of available power sources challenging – limiting data center developers' opportunities to procure power quickly, and pushing them to rely on more challenging-to-scale renewable options.</t>
  </si>
  <si>
    <t xml:space="preserve">A recent U.S. Department of Commerce (DOC) survey of manufacturers identified the Clean Air Act (CAA), Clean Water Act (CWA), and Endangered Species Act (ESA) as among the most significant regulatory barriers to new production, affecting industries' ability to scale inputs such as AI chips.18</t>
  </si>
  <si>
    <t xml:space="preserve">…truction projects. Additionally, grid interconnection requests for new generation resources can take four to seven years for power hookup.15 Finally, transmission line projects often face complex multistate permitting processes and local opposition, further delaying power delivery to data centers.16 The difficulty of securing local and state permits is compounded by environmental regulations that make the use of available power sources challenging – limiting data center developers' opportunities to procure power quickly, and pushing them to rely on more challenging-to-scale renewable options. ⟦National Environmental Policy Act (NEPA) environment impact statement (EIS) completion time was on average 4.5 years.17⟧ A recent U.S. Department of Commerce (DOC) survey of manufacturers identified the Clean Air Act (CAA), Clean Water Act (CWA), and Endangered Species Act (ESA) as among the most significant regulatory barriers to new production, affecting industries' ability to scale inputs such as AI chips.18 As a result, U.S. companies are exploring expansion into countries with more accessible power and quicker permitting processes as potentially their only opportunity to remain at the AI frontier.19 To address these challenges, we suggest potential options to free up energy for AI data centers.
# Potentia…</t>
  </si>
  <si>
    <t xml:space="preserve">87718bed-1fae-5527-ba4a-93aa4ff50b33</t>
  </si>
  <si>
    <t xml:space="preserve">YusufMahmood-AI-RFI-2025</t>
  </si>
  <si>
    <t xml:space="preserve">NSF/2025-02305/comments/comment_attachments/YusufMahmood-AI-RFI-2025_1.md</t>
  </si>
  <si>
    <t xml:space="preserve">The concept of "self-driving financeˮ is now emerging, where AI agents automatically manage routine financial tasks and even make optimized decisions on behalf of consumers with their consent and guidance.6</t>
  </si>
  <si>
    <t xml:space="preserve">ˮ), but* AI models with "read accessˮ to consumer financial data can make these kinds of insights even more targeted and impactful for consumers. And, while these insights are indeed helpful, the approaching era of "write accessˮ for AI models in financial services is going to be truly transformative for consumers' financial wellbeing.</t>
  </si>
  <si>
    <t xml:space="preserve">The concept of "self-driving financeˮ is now emerging, where AI agents automatically manage routine financial tasks and even make optimized decisions on behalf of consumers with their consent and guidance.&lt;sup&gt;6&lt;/sup&gt;</t>
  </si>
  <si>
    <t xml:space="preserve">For example, an AI agent could automatically move money from a checking account to a high-yield savings account whenever a surplus is detected, pay bills at the optimal time to avoid fees, continuously shop for better insurance or loan rates, and seamlessly switch providers for the consumer's benefit.</t>
  </si>
  <si>
    <t xml:space="preserve">…s basic insight tools into proactive financial optimization services. Many consumers today receive automated insights from their financial services providers (*e.g.*, *"You spent \$300 on dining out last monthˮ* or *"You could save \$50 by refinancing this loan.ˮ), but* AI models with "read accessˮ to consumer financial data can make these kinds of insights even more targeted and impactful for consumers. And, while these insights are indeed helpful, the approaching era of "write accessˮ for AI models in financial services is going to be truly transformative for consumers' financial wellbeing. ⟦The concept of "self-driving financeˮ is now emerging, where AI agents automatically manage routine financial tasks and even make optimized decisions on behalf of consumers with their consent and guidance.&lt;sup&gt;6&lt;/sup&gt;⟧
For example, an AI agent could automatically move money from a checking account to a high-yield savings account whenever a surplus is detected, pay bills at the optimal time to avoid fees, continuously shop for better insurance or loan rates, and seamlessly switch providers for the consumer's benefit. AI model access to, and use of, complete financial datasets for individuals and businesses becomes even more important in this context. If AI agents are to take action on behalf of consumers or businesses, it is essential that the agent has a 360-degree view of the person's or business's financ…</t>
  </si>
  <si>
    <t xml:space="preserve">6df00a92-4575-57f8-96ed-814c4be942d5</t>
  </si>
  <si>
    <t xml:space="preserve">MX-Technologies-RFI-2025</t>
  </si>
  <si>
    <t xml:space="preserve">NSF/2025-02305/comments/comment_attachments/MX-Technologies-RFI-2025_1.md</t>
  </si>
  <si>
    <t xml:space="preserve">The pace of AI development cannot be determined just by how fast the technology itself develops, but by the willingness of consumers and businesses to use it and of investors to invest in it. [11]</t>
  </si>
  <si>
    <t xml:space="preserve">As public awareness of information collection practices grows, consumer expectations around privacy and information security also evolve.</t>
  </si>
  <si>
    <t xml:space="preserve">The pace of AI development cannot be determined just by how fast the technology itself develops, but by the willingness of consumers and businesses to use it and of investors to invest in it.</t>
  </si>
  <si>
    <t xml:space="preserve">[11](#page-5-2) A 2024 survey found that trust in AI is higher in much of the developing world than it is in the U.S.[12](#page-5-3)</t>
  </si>
  <si>
    <t xml:space="preserve">…place. Incentives for companies that adopt AI responsibly, and guidance on how to do so such as introducing voluntary standards, could expedite AI adoption and mitigate potential negative impacts.
### &lt;span id="page-5-1"&gt;&lt;/span&gt;**V. RESOLVING THE TENSIONS BETWEEN DATA PRIVACY AND AI INNOVATION**
Personal information has emerged as one of the world's most valuable resources and a critical asset in the digital economy, particularly in the development of AI. As public awareness of information collection practices grows, consumer expectations around privacy and information security also evolve. ⟦The pace of AI development cannot be determined just by how fast the technology itself develops, but by the willingness of consumers and businesses to use it and of investors to invest in it.⟧ [11](#page-5-2) A 2024 survey found that trust in AI is higher in much of the developing world than it is in the U.S.[12](#page-5-3)
By embedding robust, responsible AI practices into their operations, companies can not only ensure compliance with applicable laws but also enhance consumer trust and long-term engagement. Well-thought out, flexible, and risk-based AI policies and governance frameworks can enable organizations to generate meaningful innovations without impinging on the privacy rights of individuals. These governance mechanisms are not an impediment to AI development, use, and i…</t>
  </si>
  <si>
    <t xml:space="preserve">ea721b62-2ad6-59b8-bcea-988aacaff5e7</t>
  </si>
  <si>
    <t xml:space="preserve">CIPL-AI-RFI-2025</t>
  </si>
  <si>
    <t xml:space="preserve">NSF/2025-02305/comments/comment_attachments/CIPL-AI-RFI-2025_1.md</t>
  </si>
  <si>
    <t xml:space="preserve">Government Modernization Initiative: In addition to the goals of the White House's Executive Order (Executive Order on Maintaining American Leadership in Artificial Intelligence 2019), our standard assists directly with several government modernization goals--specifically Data, Accountability, and Transparency, Shifting from Low-Value to High-Value Work, and IT Modernization (President's Management Agenda n.d.).</t>
  </si>
  <si>
    <t xml:space="preserve">● Cross-sector and generalizable: Our standard is generalizable to all organizations--including NATO and FYEY allies.</t>
  </si>
  <si>
    <t xml:space="preserve">…ship from the top drives cultural shifts and is absolutely essential for effective IW Defense. Engaged executives, who lead by example and set the tone within organizations, communicate to the entire workforce how devastating IW can be to the organization, and the nation. IW is an active and creative space; leadership engagement within thought communities also demonstrates commitment to IW Defense. This tenet encourages everyone to develop an IW Defense mindset.
### Other Noteworthy Features
More Cowbell Unlimited's v1.0 IW Defense standard contains the following features:
#### Features
- ⟦Government Modernization Initiative: In addition to the goals of the White House's Executive Order (Executive Order on Maintaining American Leadership in Artificial Intelligence 2019), our standard assists directly with several government modernization goals--specifically Data, Accountability, and Transparency, Shifting from Low-Value to High-Value Work, and IT Modernization (President's Management Agenda n.d.).⟧
- ● Cross-sector and generalizable: Our standard is generalizable to all organizations--including NATO and FYEY allies.
- Trustworthiness: Our standard promotes/develops information provenance or chain of custody competencies so that systems which use AI technologies may more confidently rely upon the decision making information.
- Comprehensive: Our standard considers the entire organization and is undergoing constant refinement in support of national security.
- Leadership: One of the key tenets in our standard is "Leadership, Culture, and Community." This tenet encourages senior leaders to…</t>
  </si>
  <si>
    <t xml:space="preserve">e227a93f-4978-5ead-b556-665d3cba6529</t>
  </si>
  <si>
    <t xml:space="preserve">NIST-2019-0001-0076</t>
  </si>
  <si>
    <t xml:space="preserve">NIST/2019-08818/comments/comment_attachments/NIST-2019-0001-0076_1.md</t>
  </si>
  <si>
    <t xml:space="preserve">We believe that Artificial General Intelligence is potentially only 2-4 years away. This belief is driven not only by a range of outside-in assessments of technical progress and discussions with experts, but also the on the on-the-record statements of frontier AI company CEOs and leadership4 , as well as more private conversations with current and former employees at a variety of levels within those companies.</t>
  </si>
  <si>
    <t xml:space="preserve">Though AI companies are on a short path to "grow" such AGI, no one knows how to understand it, how to make it loyal, or how to prevent it from being a catastrophic threat to American national security and the survival of the entire human race.</t>
  </si>
  <si>
    <t xml:space="preserve">We believe that Artificial General Intelligence is potentially only 2-4 years away. This belief is driven not only by a range of outside-in assessments of technical progress and discussions with experts, but also the on the on-the-record statements of frontier AI company CEOs and leadership&lt;sup&gt;4&lt;/sup&gt; , as well as more private conversations with current and former employees at a variety of levels within those companies.</t>
  </si>
  <si>
    <t xml:space="preserve">This is not good news.</t>
  </si>
  <si>
    <t xml:space="preserve">…s to develop and disloyal to their users, while still being powerful for uses ranging from cancer research to economic growth to national security purposes.
However, building true Artificial General Intelligence (AGI)&lt;sup&gt;3&lt;/sup&gt; that can match or exceed humanity at every economically valuable task would severely endanger global and national security. Though AI companies are on a short path to "grow" such AGI, no one knows how to understand it, how to make it loyal, or how to prevent it from being a catastrophic threat to American national security and the survival of the entire human race.
⟦We believe that Artificial General Intelligence is potentially only 2-4 years away. This belief is driven not only by a range of outside-in assessments of technical progress and discussions with experts, but also the on the on-the-record statements of frontier AI company CEOs and leadership&lt;sup&gt;4&lt;/sup&gt; , as well as more private conversations with current and former employees at a variety of levels within those companies.⟧
This is not good news.
By the public statements of frontier AI companies,&lt;sup&gt;5&lt;/sup&gt; once they have the ability to automate AI research through AGI or near-AGI systems, they intend to hand over substantial responsibility to those AI systems to conduct frontier AI research, with human researchers rapidly losing relevance as big tech companies race to build superintelligent AI. Once the handover to AGI-driven, automated AI research is made, *no country or company will be in control* of what happens next. Superintelligent AI is too dangerous to its own country to be developed; from the moment…</t>
  </si>
  <si>
    <t xml:space="preserve">b0f273e6-f824-55de-8238-713ba27a25b7</t>
  </si>
  <si>
    <t xml:space="preserve">ControlAI-AI-RFI-2025</t>
  </si>
  <si>
    <t xml:space="preserve">NSF/2025-02305/comments/comment_attachments/ControlAI-AI-RFI-2025_1.md</t>
  </si>
  <si>
    <t xml:space="preserve">exact_body_flow</t>
  </si>
  <si>
    <t xml:space="preserve">The Draft Memo sets forth three pillars to guide federal agency use of AI-(1) "[s]trengthening AI governance," (2) "[a]dvancing responsible AI innovation," and (3) "[m]anaging risks from the use of AI"[7] -and explicitly states its intent to advance AI innovation within the federal government, making clear that "[a]gencies must increase their capacity to successfully and responsibly adopt AI, including generative AI, into their operations."[8]</t>
  </si>
  <si>
    <t xml:space="preserve">[2](#page-2-2) Consistent with the President's directive in the October 30, 2023 Executive Order on the Safe, Secure, and Trustworthy Development and Use of Artificial Intelligence ("AI EO"), [3](#page-2-3) the Draft Memo proposes "new agency requirements and guidance for [artificial intelligence ("AI")] governance, innovation, and risk management."[4](#page-2-4) In particular, the Draft Memo proposes "minimum practices" for federal agencies when using "rights-impacting [AI]" and "safety-impacting AI,"[5](#page-2-5) as well as "a series of recommendations for managing AI risks in the context of Federal procurement."[6](#page-2-6)</t>
  </si>
  <si>
    <t xml:space="preserve">The Draft Memo sets forth three pillars to guide federal agency use of AI—(1) "[s]trengthening AI governance," (2) "[a]dvancing responsible AI innovation," and (3) "[m]anaging risks from the use of AI"[7](#page-2-7) —and explicitly states its intent to advance AI innovation within the federal government, making clear that "[a]gencies must increase their capacity to successfully and responsibly adopt AI, including generative AI, into their operations.</t>
  </si>
  <si>
    <t xml:space="preserve">"[8](#page-3-2) CTIA broadly agrees with these goals; the federal government must be able to leverage the massive benefits that AI promises, which is critical for AI innovation and leadership on the global scale. However, the Draft Memo goes too far in burdening adoption of AI technology in areas that are not high risk. Specifically, the Draft Memo attempts to take a risk-based and risk-management approach, providing guidance so that agencies can both "realize significant benefits from AI" and "manage a range of risks,"[9](#page-3-3) but its broad definitions and overly prescriptive baseline requirements cut against OMB's goals of successful adoption of responsible AI.</t>
  </si>
  <si>
    <t xml:space="preserve">…ident's directive in the October 30, 2023 Executive Order on the Safe, Secure, and Trustworthy Development and Use of Artificial Intelligence ("AI EO"), [3](#page-2-3) the Draft Memo proposes "new agency requirements and guidance for [artificial intelligence ("AI")] governance, innovation, and risk management."[4](#page-2-4) In particular, the Draft Memo proposes "minimum practices" for federal agencies when using "rights-impacting [AI]" and "safety-impacting AI,"[5](#page-2-5) as well as "a series of recommendations for managing AI risks in the context of Federal procurement."[6](#page-2-6)
⟦The Draft Memo sets forth three pillars to guide federal agency use of AI—(1) "[s]trengthening AI governance," (2) "[a]dvancing responsible AI innovation," and (3) "[m]anaging risks from the use of AI"[7](#page-2-7) —and explicitly states its intent to advance AI innovation within the federal government, making clear that "[a]gencies must increase their capacity to successfully and responsibly adopt AI, including
&lt;span id="page-2-1"&gt;&lt;/span&gt;&lt;sup&gt;1&lt;/sup&gt; CTIA – The Wireless Association® ("CTIA") (www.ctia.org) represents the U.S. wireless communications industry and the companies throughout the mobile ecosystem that enable Americans to lead a 21st century connected life. The association's members include wireless carriers, device manufacturers, suppliers as well as apps and content companies. CTIA vigorously advocates at all levels of government for policies that foster continued wireless innovation and investment. The association also coordinates the industry's voluntary best practices, hosts educational events that promote the wireless industry and coproduces the industry's leading wireless tradeshow. CTIA was founded in 1984 and is based in Washington, D.C.
&lt;span id="page-2-2"&gt;&lt;/span&gt;&lt;sup&gt;2&lt;/sup&gt; Proposed Memorandum from Shalanda D. Young, OMB, on Advancing Governance, Innovation, and Risk Management for Agency Use of Artificial Intelligence to the Heads of Executive Departments and Agencies (Oct. 30, 2023), &lt;https://ai.gov/wp-content/uploads/2023/11/AI-in-Government-Memo-Public-Comment.pdf&gt; ("Draft Memo").
&lt;span id="page-2-3"&gt;&lt;/span&gt;&lt;sup&gt;3&lt;/sup&gt; Exec. Order No. 14110, 88 Fed. Reg. 75191, 75218-23 (Nov. 1, 2023), [https://www.federalregister.gov/documents/2023/11/01/2023-24283/safe-secure-and-trustworthy-development-and-use-of](https://www.federalregister.gov/documents/2023/11/01/2023-24283/safe-secure-and-trustworthy-development-and-use-of-artificial-intelligence)[artificial-intelligence](https://www.federalregister.gov/documents/2023/11/01/2023-24283/safe-secure-and-trustworthy-development-and-use-of-artificial-intelligence) ("AI EO").
&lt;span id="page-2-4"&gt;&lt;/span&gt;&lt;sup&gt;4&lt;/sup&gt; Draft Memo at 1.
&lt;span id="page-2-5"&gt;&lt;/span&gt;&lt;sup&gt;5&lt;/sup&gt; *Id.* at 2.
&lt;span id="page-2-6"&gt;&lt;/span&gt;&lt;sup&gt;6&lt;/sup&gt; *Id.* 
&lt;span id="page-2-7"&gt;&lt;/span&gt;&lt;sup&gt;7&lt;/sup&gt; *Input*, AI.gov,&lt;https://ai.gov/input/&gt; (last visited Nov. 28, 2023).
generative AI, into their operations.⟧"[8](#page-3-2) CTIA broadly agrees with these goals; the federal government must be able to leverage the massive benefits that AI promises, which is critical for AI innovation and leadership on the global scale. However, the Draft Memo goes too far in burdening adoption of AI technology in areas that are not high risk. Specifically, the Draft Memo attempts to take a risk-based and risk-management approach, providing guidance so that agencies can both "realize significant benefits from AI" and "manage a range of risks,"[9](#page-3-3) but its broad definitions and overly prescriptive baseline r…</t>
  </si>
  <si>
    <t xml:space="preserve">fcf35bfd-6475-5ac5-bfcf-b989a5d1dffe</t>
  </si>
  <si>
    <t xml:space="preserve">OMB-2023-0020-0113</t>
  </si>
  <si>
    <t xml:space="preserve">OMB/2023-24269/comments/comment_attachments/OMB-2023-0020-0113_1.md</t>
  </si>
  <si>
    <t xml:space="preserve">The comprehensive list of AI testing and evaluation responsibilities defined by the OMB, in their "Advancing Governance, Innovation, and Risk Management for Agency Use of Artificial Intelligence" memorandum[3] , necessitates clear definitions to reach the intended AI procurement goals within federal agencies.</t>
  </si>
  <si>
    <t xml:space="preserve">Though an overlap of best practices and guidelines is present, the lack of clear definitions in procurement clauses may raise challenges in taxonomy consistencies, standards authority, and reporting inaccuracies.</t>
  </si>
  <si>
    <t xml:space="preserve">The comprehensive list of AI testing and evaluation responsibilities defined by the OMB, in their "Advancing Governance, Innovation, and Risk Management for Agency Use of Artificial Intelligence" memorandum[3](#page-2-0) , necessitates clear definitions to reach the intended AI procurement goals within federal agencies.</t>
  </si>
  <si>
    <t xml:space="preserve">To exemplify these practices, the European Commission has published a draft procurement clauses of AI systems, including related definitions.[4](#page-2-1)</t>
  </si>
  <si>
    <t xml:space="preserve">… are increasingly investing in AI governance and ethnical practices efforts to stay compliant. A recent market research estimated the AI trust, risk, and security management initiatives to reach over \$7 billion by 2030.[2](#page-1-1) The practice of Responsible AI varies significantly based on industry norms, underlying frameworks, incentives, legal considerations, and entity goals. Though an overlap of best practices and guidelines is present, the lack of clear definitions in procurement clauses may raise challenges in taxonomy consistencies, standards authority, and reporting inaccuracies. ⟦The comprehensive list of AI testing and
&lt;span id="page-1-0"&gt;&lt;/span&gt;&lt;sup&gt;1&lt;/sup&gt; The Office of Management and Budget's Memorandum (OMB Memo) (M-24-10) on Advancing Governance, Innovation, and Risk Management for Agency Use of Artificial Intelligence: https://www.whitehouse.gov/wpcontent/uploads/2024/03/M-24-10-Advancing-Governance-Innovation-and-Risk-Management-for-Agency-Use-of-Artificial-Intelligence.pdf
&lt;span id="page-1-1"&gt;&lt;/span&gt;&lt;sup&gt;2&lt;/sup&gt; Research &amp; Markets Report on *Global AI Trust, Risk and Security Management Market Size, Share &amp; Trends Analysis Report by Component, Type (Explainability, ModelOps, Data Protection), Deployment, Enterprise Size, Application, End-use, Region, and Segment Forecasts, 2024-2030*: https://rb.gy/7xv8pf
evaluation responsibilities defined by the OMB, in their "Advancing Governance, Innovation, and Risk Management for Agency Use of Artificial Intelligence" memorandum[3](#page-2-0) , necessitates clear definitions to reach the intended AI procurement goals within federal agencies.⟧ To exemplify these practices, the European Commission has published a draft procurement clauses of AI systems, including related definitions.[4](#page-2-1)
The finalized guidelines should include definitions on AI testing, evaluation, and impact assessments to conceptualize the task in hand. These terms are often used interchangeably, but so have functional differences. (1) AI testing generally refers to pre-deployment validation of model's performance, functions, and features, which can include establishing quality requirements and assessment criteria, detecting functional gaps, limitations…</t>
  </si>
  <si>
    <t xml:space="preserve">1c14620a-7ef4-5fbe-8b5f-e65c17d555d6</t>
  </si>
  <si>
    <t xml:space="preserve">OMB-2024-0004-0015</t>
  </si>
  <si>
    <t xml:space="preserve">OMB/2024-06547/comments/comment_attachments/OMB-2024-0004-0015_1.md</t>
  </si>
  <si>
    <t xml:space="preserve">Sen. Markey (D-Mass.), chair of the Senate Environment and Public Works Subcommittee on Clean Air, Climate, and Nuclear Safety, Sen. Heinrich (D-N.M.), founder and co-chair of the Senate AI Caucus, Rep. Eshoo (CA-16), co-chair of the House AI Caucus, and Rep. Don Beyer (VA-08), vice-chair of the House AI Caucus, introduced the Artificial Intelligence Environmental Impacts Act of 2024.32</t>
  </si>
  <si>
    <t xml:space="preserve">Indeed, U.S. legislators are already moving to regulate the environmental impacts of AI systems.</t>
  </si>
  <si>
    <t xml:space="preserve">Sen. Markey (D-Mass.), chair of the Senate Environment and Public Works Subcommittee on Clean Air, Climate, and Nuclear Safety, Sen. Heinrich (D-N.M.), founder and co-chair of the Senate AI Caucus, Rep. Eshoo (CA-16), co-chair of the House AI Caucus, and Rep. Don Beyer (VA-08), vice-chair of the House AI Caucus, introduced the Artificial Intelligence Environmental Impacts Act of 2024.32 The legislation33 would direct NIST to develop standards to measure and report the full range of AI's environmental impacts, as well as create a voluntary framework for AI developers to report environmental impacts.</t>
  </si>
  <si>
    <t xml:space="preserve">**As a part of NIST's objective to lead in global standard setting, NIST must account for the growing environmental implications of the AI supply chain in designing its risk management framework, standard development process, and consider obligations towards reducing carbon emissions and other environmental harms created by AI.**</t>
  </si>
  <si>
    <t xml:space="preserve">…CAIDP's statement to the Council of Europe, noted that sustainability ought to be a consideration alongside the human rights, democracy, and rule of law impact of AI, as the other three factors are "strongly reliant" on sustainable AI development.30 Furthermore, CAIDP has advised the negotiators during the drafting of the EU AI Act that AI system providers ought to document the environmental impact of their systems, as required by the Declaration on A Green and Digital Transformation of the EU.31
Indeed, U.S. legislators are already moving to regulate the environmental impacts of AI systems. ⟦Sen. Markey (D-Mass.), chair of the Senate Environment and Public Works Subcommittee on Clean Air, Climate, and Nuclear Safety, Sen. Heinrich (D-N.M.), founder and co-chair of the Senate AI Caucus, Rep. Eshoo (CA-16), co-chair of the House AI Caucus, and
&lt;sup&gt;26&lt;/sup&gt; Kate Saenko, *A Computer Scientist Breaks Down AI's Hefty Carbon Footprint*, Scientific American (May 25, 2023), https://www.scientificamerican.com/article/a-computer-scientist-breaks-downgenerative-ais-hefty-carbon-footprint/.
&lt;sup&gt;27&lt;/sup&gt; *Id.* &lt;sup&gt;28&lt;/sup&gt; UNESCO, *Recommendation on the Ethics of Artificial Intelligence*, (Nov. 23, 2021) https://en.unesco.org/about-us/legal-affairs/recommendation-ethics-artificial-intelligence &lt;sup&gt;29&lt;/sup&gt; *Id,* at pg. 30, Recommendation 84.
&lt;sup&gt;30&lt;/sup&gt; CAIDP, *CAIDP Statement to Council of Europe CAHAI on Legal Standards for AI* (2021), https://www.caidp.org/app/download/8357849663/CAIDP-Statement-CAHAI-23112021.pdf. &lt;sup&gt;31&lt;/sup&gt; CAIDP, *CAIDP Statement on the Council General Approach* (2023), https://www.caidp.org/app/download/8442646963/CAIDP-Statement-EU-AIA-13022023.pdf.
![](_page_7_Picture_0.jpeg)
Rep. Don Beyer (VA-08), vice-chair of the House AI Caucus, introduced the Artificial Intelligence Environmental Impacts Act of 2024.32 The legislation33 would direct NIST to develop standards to measure and report the full range of AI's environmental impacts, as well as create a voluntary framework for AI developers to report environmental impacts.⟧
**As a part of NIST's objective to lead in global standard setting, NIST must account for the growing environmental implications of the AI supply chain in designing its risk management framework, standard development process, and consider obligations towards reducing carbon emissions and other environmental harms created by AI.** 
*Response 3: "Risks and harms of generative AI, including challenges in mapping, measuring, and managing trustworthiness characteristics as defined in the AI RMF, as well as harms related to repression, interference with democratic processes and institutions, gend…</t>
  </si>
  <si>
    <t xml:space="preserve">78945c55-eb90-573b-9c49-72412933a42a</t>
  </si>
  <si>
    <t xml:space="preserve">NIST-2023-0009-0165</t>
  </si>
  <si>
    <t xml:space="preserve">NIST/2023-28232/comments/comment_attachments/NIST-2023-0009-0165_1.md</t>
  </si>
  <si>
    <t xml:space="preserve">As John Villasenor, co-director of the UCLA Institute for Technology, Law, and Policy, notes, Executive Order 14110 "mandates the creation of what amounts to a target list for any geopolitical adversary that might want to engage in cyber espionage or launch a large-scale cyberattack on U.S. AI computing infrastructure."[31]</t>
  </si>
  <si>
    <t xml:space="preserve">This rule will jeopardize the highly sensitive proprietary information AI companies are required to report.</t>
  </si>
  <si>
    <t xml:space="preserve">As John Villasenor, co-director of the UCLA Institute for Technology, Law, and Policy, notes, Executive Order 14110 "mandates the creation of what amounts to a target list for any geopolitical adversary that might want to engage in cyber espionage or launch a large-scale cyberattack on U.S. AI computing infrastructure."[31](#page-5-0)</t>
  </si>
  <si>
    <t xml:space="preserve">Recognizing that "the information collected through these reporting requirements is extremely sensitive," the BIS requests "comments related to how this data should be collected and stored."</t>
  </si>
  <si>
    <t xml:space="preserve">…3,[28](#page-4-6) the attorneys general objected to the Order which seeks "to centralize governmental control over an emerging technology being developed by the private sector."[29](#page-4-7) They write that "[t]he Executive Order's newly created supervisory regime for the Department of Commerce to review AI models lacks legal authority."[30](#page-4-8)
# **The NPRM raises serious national security concerns and threatens to defeat its stated purpose of developing safe and secure AI**
This rule will jeopardize the highly sensitive proprietary information AI companies are required to report. ⟦As John Villasenor, co-director of the UCLA Institute for Technology, Law, and Policy, notes, Executive Order 14110 "mandates the creation of what amounts to a target list for any
&lt;span id="page-4-0"&gt;&lt;/span&gt;&lt;sup&gt;22&lt;/sup&gt; Ted Cruz and Phil Gramm, *Biden Wants to Put AI on a Leash*, WALL STREET JOURNAL (Mar. 25, 2024), *available at* [https://www.wsj.com/articles/biden-wants-to-put-artificial-intelligence-on-a-leash-progressive-regulation-45275102.](https://www.wsj.com/articles/biden-wants-to-put-artificial-intelligence-on-a-leash-progressive-regulation-45275102) 23 *Id*.
&lt;span id="page-4-3"&gt;&lt;/span&gt;&lt;span id="page-4-2"&gt;&lt;/span&gt;&lt;span id="page-4-1"&gt;&lt;/span&gt;&lt;sup&gt;24&lt;/sup&gt; *Supra* note 17; *see also* President William J. Clinton &amp; Vice President Albert Gore, Jr., *A Framework For Global Electronic Commerce* (July 1, 1997), *available at* [https://clintonwhitehouse4.archives.gov/WH/New/Commerce/read.html.](https://clintonwhitehouse4.archives.gov/WH/New/Commerce/read.html) &lt;sup&gt;25&lt;/sup&gt; *The Fiscal Year 2025 Department of Commerce Budget: Hearing before the Subcomm. On Innovation, Data, and Commerce of the H. Comm. On Energy and Commerce*, 118th Congress (2024). &lt;sup&gt;26&lt;/sup&gt; *Id*.
&lt;span id="page-4-6"&gt;&lt;/span&gt;&lt;span id="page-4-5"&gt;&lt;/span&gt;&lt;span id="page-4-4"&gt;&lt;/span&gt;
&lt;sup&gt;27&lt;/sup&gt; *Supra* note 13. 28 NIST, *Request for Information (RFI) Related to NIST's Assignments Under Sections 4.1, 4.5 and 11 of the Executive Order Concerning Artificial Intelligence (Sections 4.1, 4.5, and 11)*, 88 Fed. Reg. 88368 (Dec. 21, 2023).
&lt;span id="page-4-8"&gt;&lt;/span&gt;&lt;span id="page-4-7"&gt;&lt;/span&gt;&lt;sup&gt;29&lt;/sup&gt; *Supra* note 13 at 2.
&lt;sup&gt;30&lt;/sup&gt; *Ibid*.
geopolitical adversary that might want to engage in cyber espionage or launch a large-scale cyberattack on U.S. AI computing infrastructure."[31](#page-5-0)⟧
Recognizing that "the information collected through these reporting requirements is extremely sensitive," the BIS requests "comments related to how this data should be collected and stored." However, the companies developing these AI models are most incentivized and best positioned to secure their sensitive data. Paradoxically, the BIS claims this rulemaking is necessary to "minimize the vulnerability of dual-use foundation models to cyberattacks," but it defeats its own purpose by requiring AI companies to report proprietary data the BIS does not appear equipped to store and secure safely.[…</t>
  </si>
  <si>
    <t xml:space="preserve">2a6ed0d8-805d-5382-b603-fb783b5dba3e</t>
  </si>
  <si>
    <t xml:space="preserve">BIS-2024-0047-0003</t>
  </si>
  <si>
    <t xml:space="preserve">BIS/2024-20529/comments/comment_attachments/BIS-2024-0047-0003_1.md</t>
  </si>
  <si>
    <t xml:space="preserve">Instead of working with the U.S. to ensure China does not set the global standard, as the Information Technology &amp; Innovation Foundation points out, "the EU has declared open season on American tech companies and the U.S. has mounted no coordinated response….These attacks hurt U.S. economic interests, threaten U.S. jobs and competitiveness, and weaken a key U.S. sector's capacity for innovation through billions in lost revenue and opportunities."46 In addition to costing U.S. companies billions in fines,47 European policymakers have delayed extraordinary innovations from reaching European consumers and businesses, and created a non-tariff barrier for U.S. companies.</t>
  </si>
  <si>
    <t xml:space="preserve">China is working toward becoming the global AI leader by 2030,&lt;sup&gt;43&lt;/sup&gt; investing an estimated \$1.4 trillion in AI by 2030, and focusing on becoming a leader in both open source AI&lt;sup&gt;44&lt;/sup&gt; and also for industry-specific applications.&lt;sup&gt;45&lt;/sup&gt;</t>
  </si>
  <si>
    <t xml:space="preserve">Instead of working with the U.S. to ensure China does not set the global standard, as the Information Technology &amp; Innovation Foundation points out, "the EU has declared open season on American tech companies and the U.S. has mounted no coordinated response…. These attacks hurt U.S. economic interests, threaten U.S. jobs and competitiveness, and weaken a key U.S. sector's capacity for innovation through billions in lost revenue and opportunities. "&lt;sup&gt;46&lt;/sup&gt; In addition to costing U.S. companies billions in fines,&lt;sup&gt;47&lt;/sup&gt; European policymakers have delayed extraordinary innovations from reaching European consumers and businesses, and created a non-tariff barrier for U.S. companies.</t>
  </si>
  <si>
    <t xml:space="preserve">…use it falls below an arbitrary threshold established by the EU for so-called '"systemic risks."
If the EU continues to target American tech companies—through uncertain and hostile regulatory regimes and other measures, such as digital services taxes, punitive antitrust laws, ambiguous privacy laws, the global AI standard will be Chinese. China is working toward becoming the global AI leader by 2030,&lt;sup&gt;43&lt;/sup&gt; investing an estimated \$1.4 trillion in AI by 2030, and focusing on becoming a leader in both open source AI&lt;sup&gt;44&lt;/sup&gt; and also for industry-specific applications.&lt;sup&gt;45&lt;/sup&gt;
⟦Instead of working with the U.S. to ensure China does not set the global standard, as the Information Technology &amp; Innovation Foundation points out, "the EU has declared open
&lt;sup&gt;43&lt;/sup&gt; China And AI In 2025: What Global Executives Must Know To Stay Ahead, https://www.forbes.com/sites/markgreeven/2024/12/23/china-and-ai-in-2025-what-global-executives-must-know-to -stay-ahead/.
&lt;sup&gt;44&lt;/sup&gt; *See generally The Real Threat of Chinese AI: Why the United States Needs to Lead the Open-Source Race*, https://www.foreignaffairs.com/china/real-threat-chinese-ai
&lt;sup&gt;45&lt;/sup&gt; China's AI industry could see US\$1.4 trillion in investment in 6 years, executive says, Sep. 9, 2024, https://finance.yahoo.com/news/chinas-ai-industry-could-see-093000369.html.
season on American tech companies and the U.S. has mounted no coordinated response….These attacks hurt U.S. economic interests, threaten U.S. jobs and competitiveness, and weaken a key U.S. sector's capacity for innovation through billions in lost revenue and opportunities."&lt;sup&gt;46&lt;/sup&gt; In addition to costing U.S. companies billions in fines,&lt;sup&gt;47&lt;/sup&gt; European policymakers have delayed extraordinary innovations from reaching European consumers and businesses, and created a non-tariff barrier for U.S. companies.⟧
## **B. Foreign Regulators are Weaponizing Antitrust Review**
The emergence of competition regulations aimed at curtailing the growth and influence of U.S. companies, especially in the EU and UK, has the potential for detrimental effect on American AI.&lt;sup&gt;48&lt;/sup&gt; From digital *ex ante* regulations, like Europe's Digital Markets Act, to the punitive use of merger control regimes, these measures ostensibly promote competition and protect consumer data. In practice, they often serve as veiled attempts to restrict U.S. tech firms' ability to innovate and operate freely.&lt;sup&gt;49&lt;/sup&gt;
Mergers …</t>
  </si>
  <si>
    <t xml:space="preserve">27d8f82c-c75d-5f11-a4e1-7942a26cc622</t>
  </si>
  <si>
    <t xml:space="preserve">Meta-AI-RFI-2025</t>
  </si>
  <si>
    <t xml:space="preserve">NSF/2025-02305/comments/comment_attachments/Meta-AI-RFI-2025_1.md</t>
  </si>
  <si>
    <t xml:space="preserve">Subsequent investigations revealed that although the lending model did not rely on specific institutions, it did categorize those institutions based on "average incoming standardized test scores," which led to the disproportionate treatment of HBCUs and HSIs.83</t>
  </si>
  <si>
    <t xml:space="preserve">For example, as highlighted by an independent analysis of the system, one lending model developed as an alternative to traditional credit scores "charged higher interest rates and origination fees" for borrowers who had attended Historically Black Colleges and Universities (HBCUs) and Hispanic-Serving Institutions (HSIs).&lt;sup&gt;82&lt;/sup&gt;</t>
  </si>
  <si>
    <t xml:space="preserve">Subsequent investigations revealed that although the lending model did not rely on specific institutions, it did categorize those institutions based on "average incoming standardized test scores," which led to the disproportionate treatment of HBCUs and HSIs.&lt;sup&gt;83&lt;/sup&gt;</t>
  </si>
  <si>
    <t xml:space="preserve">Testing in a real-world context by an independent entity was critical to identifying those disparities, and it is possible that further internal real-world testing could have not only identified those disparities before the system was deployed but also led to mitigations, which are still ongoing.&lt;sup&gt;84&lt;/sup&gt;</t>
  </si>
  <si>
    <t xml:space="preserve">…ng environments are necessary to identify harms from human-AI interaction, which may arise from the data used to train the model, the model's use in unintended or unanticipated environments, incorrect interpretation of its output by operators, or other factors.
For example, as highlighted by an independent analysis of the system, one lending model developed as an alternative to traditional credit scores "charged higher interest rates and origination fees" for borrowers who had attended Historically Black Colleges and Universities (HBCUs) and Hispanic-Serving Institutions (HSIs).&lt;sup&gt;82&lt;/sup&gt; ⟦Subsequent investigations revealed that although the lending model did not rely on specific institutions, it did categorize those institutions based on "average incoming standardized test scores," which led to the
&lt;sup&gt;77&lt;/sup&gt; Draft Memorandum at 20.
&lt;sup&gt;78&lt;/sup&gt; Draft Memorandum at 15.
&lt;sup&gt;79&lt;/sup&gt; Draft Memorandum at 16.
&lt;sup&gt;80&lt;/sup&gt; *Id.*
&lt;sup&gt;81&lt;/sup&gt; Draft Memorandum at 17.
&lt;sup&gt;82&lt;/sup&gt; Student Borrower Protection Center, Educational Redlining at 15 (2020), [https://protectborrowers.org/wp](https://protectborrowers.org/wp-content/uploads/2020/02/Education-Redlining-Report.pdf)[content/uploads/2020/02/Education-Redlining-Report.pdf.](https://protectborrowers.org/wp-content/uploads/2020/02/Education-Redlining-Report.pdf) 
![](_page_16_Picture_0.jpeg)
disproportionate treatment of HBCUs and HSIs.&lt;sup&gt;83&lt;/sup&gt;⟧ Testing in a real-world context by an independent entity was critical to identifying those disparities, and it is possible that further internal real-world testing could have not only identified those disparities before the system was deployed but also led to mitigations, which are still ongoing.&lt;sup&gt;84&lt;/sup&gt;
Further, real-world, independent evaluation of the risks and benefits of AI should include feedback from likely operators. For example, the Allegheny Family Screening Tool ("AFST") was developed and implemented by a county child welfare agency to help make screening decisions about whet…</t>
  </si>
  <si>
    <t xml:space="preserve">a526c0e9-296a-55fa-848d-5111ebc391df</t>
  </si>
  <si>
    <t xml:space="preserve">OMB-2023-0020-0087</t>
  </si>
  <si>
    <t xml:space="preserve">OMB/2023-24269/comments/comment_attachments/OMB-2023-0020-0087_1.md</t>
  </si>
  <si>
    <t xml:space="preserve">The UK AI Security Institute (AISI) performs the same kind of evaluations and standards setting work at the US AI Safety Institute, and the two have collaborated on risk evaluations for frontier AI models.23</t>
  </si>
  <si>
    <t xml:space="preserve">2. **Technical evaluations and standards.**</t>
  </si>
  <si>
    <t xml:space="preserve">The UK AI Security Institute (AISI) performs the same kind of evaluations and standards setting work at the US AI Safety Institute, and the two have collaborated on risk evaluations for frontier AI models.&lt;sup&gt;23&lt;/sup&gt;</t>
  </si>
  <si>
    <t xml:space="preserve">Yet the UK AISI has more than 10x the budget of its American counterpart, counting more than 50 technical staff and senior leaders from industry labs like OpenAI and Google DeepMind.&lt;sup&gt;24&lt;/sup&gt;</t>
  </si>
  <si>
    <t xml:space="preserve">…h other countries:
- 1. **Export control enforcement.** Other countries have fallen short in enforcing AI export controls. The Netherlands, for example, has obscured official data on semiconductor equipment exported by ASML to China, and Singapore's rapid emergence as Nvidia's second-largest revenue source raises concerns about GPU smuggling into China.&lt;sup&gt;22&lt;/sup&gt; Failure to faithfully enforce export controls should reduce the number of AI chips that a country can buy, thus creating a strong incentive for countries to improve their enforcement.
- 2. **Technical evaluations and standards.** ⟦The UK AI Security Institute (AISI) performs the same kind of evaluations and standards setting work at the US AI Safety Institute, and the
&lt;sup&gt;20&lt;/sup&gt; U.S. Department of Justice. "Superseding Indictment Charges Chinese National in Relation to Alleged Plan to Steal Proprietary AI Technology." February 2025.
&lt;sup&gt;21&lt;/sup&gt; Datta and Fist, "Compute in America."
&lt;sup&gt;22&lt;/sup&gt; Reuters, Toby Sterling. "Dutch government excludes most ASML sales to China from 'dual use' export data." Reuters, January 2025. Kristina Partsinevelos. "Nvidia's unofficial exports to China face scrutiny after arrest of silicon smugglers in Singapore." CNBC, March 2025.
two have collaborated on risk evaluations for frontier AI models.&lt;sup&gt;23&lt;/sup&gt;⟧ Yet the UK AISI has more than 10x the budget of its American counterpart, counting more than 50 technical staff and senior leaders from industry labs like OpenAI and Google DeepMind.&lt;sup&gt;24&lt;/sup&gt; To benefit from this technical experience, the United States should **partner with UK AISI**  to jointly assess the risks of frontier AI models and develop technical standards.
3. **Counterintelligence.** Foreign nations like the UAE and Malaysia are building large clusters of American GPUs. For the protection of those data centers and ours at home, the United States should **establish intelligence …</t>
  </si>
  <si>
    <t xml:space="preserve">c04c66f3-27b7-5195-87dc-7e3b43e31202</t>
  </si>
  <si>
    <t xml:space="preserve">AidanOGara-AI-RFI-2025</t>
  </si>
  <si>
    <t xml:space="preserve">NSF/2025-02305/comments/comment_attachments/AidanOGara-AI-RFI-2025_1.md</t>
  </si>
  <si>
    <t xml:space="preserve">Corning, itself, has seen energy savings of more than 68,000 kWh per year thanks to the deployment of fiber architecture in its optical communications headquarters in Charlotte, North Carolina. 16</t>
  </si>
  <si>
    <t xml:space="preserve">Also, because fiber optic cables rely on light rather than electric signals, fiber reduces energy consumption by up to 54% compared to copper-based networks,&lt;sup&gt;15&lt;/sup&gt; thereby allowing data centers to drastically reduce their energy consumption.</t>
  </si>
  <si>
    <t xml:space="preserve">…centers and will continue to do so moving forward.
For instance, fiber can connect data center campuses to one another, allowing them to transmit between each other at high data rates. This in turn allows for more distributed power access for these data centers, as opposed to requiring them to rely on one location to supply higher levels of power. Also, because fiber optic cables rely on light rather than electric signals, fiber reduces energy consumption by up to 54% compared to copper-based networks,&lt;sup&gt;15&lt;/sup&gt; thereby allowing data centers to drastically reduce their energy consumption. ⟦Corning, itself, has seen
&lt;sup&gt;11&lt;/sup&gt; *See Corning and Lumen Reach Supply Agreement on Next-Generation Fiber-Optic Cable to Support Data Center AI Demands*, Corning, News Release (Aug. 1, 2024), https://www.corning.com/worldwide/en/about-us/news-events/news-releases/2024/08/corning-and-lumenreach-supply-agreement-on-next-generation-fiber-optic-cable-to-support-data-center-ai-demands.html.
&lt;sup&gt;12&lt;/sup&gt; *See* Sean Buckley, *Lumen and Meta enter AI network pact*, Lightwave + BTR (Oct. 21, 2024), https://www.lightwaveonline.com/home/article/55237111/lumen-and-meta-enter-ai-network-pact.
&lt;sup&gt;13&lt;/sup&gt; *See AT&amp;T and Corning Expand Collaboration with Multi-Year Purchase Agreement*, Corning, News Release (Oct. 28, 2024), https://www.corning.com/worldwide/en/about-us/news-events/newsreleases/2024/10/att-and-corning-expand-collaboration-with-multi-year-purchase-agreement.html.
&lt;sup&gt;14&lt;/sup&gt; *See* Linda Hardesty, *AT&amp;T CEO John Stankey ponders big-picture thoughts about open access networks*, Fierce Network (Oct. 24, 2024), https://www.fierce-network.com/broadband/att-ceo-johnstankey-ponders-big-picture-thoughts-about-open-accessnetworks?utm\_medium=email&amp;utm\_source=nl&amp;utm\_campaign=FN-NL-FierceNetworkBroadband&amp;oly\_enc\_id=8985J6128645H7C.
&lt;sup&gt;15&lt;/sup&gt; *See Optical Fiber Sustainability and Safety*, Corning, https://www.corning.com/opticalcommunications/worldwide/en/home/products/fiber/optical-fiber-resource-center/environmental-andsafety.html (last visited Oct. 31, 2024). For additional information on the superior capability of optical fiber to support growing capacity demands, as well as data on its sustainability benefits as the industry scales, please see Corning's white paper, *A sustainable future with optical fiber*, available at https://www.corning.com/media/worldwide/coc/documents/Fiber/white-paper/WP1000.pdf.
energy savings of more than 68,000 kWh per year thanks to the deployment of fiber architecture in its optical communications headquarters in Charlotte, North Carolina. 16⟧
### **V. CONCLUSION**
Corning appreciates the opportunity to provide input on the RFI that the NITRD NCO and OSTP issued for public response. As the leader in fiber optic technology, Corning continually seeks to be at the forefront of the latest technology frontier with AI and the rapidly expanding data center industry is no exception. Corning is proud to be playing such a key role in helping data centers expand quickly and responsibly and would welcome the opportunity to further collaborate with the NITRD NCO and OSTP on these issues.
Respectfully submitted,
By: /s/ Michelle O'Neill
Mic…</t>
  </si>
  <si>
    <t xml:space="preserve">e24a9e31-b6c8-53f9-a3b5-23b21cc77172</t>
  </si>
  <si>
    <t xml:space="preserve">Corning-AI-RFI-2025</t>
  </si>
  <si>
    <t xml:space="preserve">NSF/2025-02305/comments/comment_attachments/Corning-AI-RFI-2025_1.md</t>
  </si>
  <si>
    <t xml:space="preserve">Federal Trade Commission Chair Andrew Ferguson stated the risk of overregulating AI more bluntly: "Such regulation could strangle this nascent technology in its cradle, or move the development of the technology to foreign states hostile to our national interests."[27] Allowing https://www.ftc.gov/system/files/ftc_gov/pdf/ferguson-ai-6b-statement.pdf. states to take charge on AI policy threatens to create a complicated patchwork of laws that will burden the private sector and harm national interests.[28]</t>
  </si>
  <si>
    <t xml:space="preserve">This work continues under the Bipartisan Task Force on Artificial Intelligence under the leadership of co-chairs Congressman Ted Lieu and Congressman Jay Obernolte. [26](#page-6-2)</t>
  </si>
  <si>
    <t xml:space="preserve">Federal Trade Commission Chair Andrew Ferguson stated the risk of overregulating AI more bluntly: "Such regulation could strangle this nascent technology in its cradle, or move the development of the technology to foreign states hostile to our national interests."[27](#page-6-3) Allowing https://www.ftc.gov/system/files/ftc\_gov/pdf/ferguson-ai-6b-statement.pdf. states to take charge on AI policy threatens to create a complicated patchwork of laws that will burden the private sector and harm national interests.[28](#page-7-0)</t>
  </si>
  <si>
    <t xml:space="preserve">The AI Action Plan should call on Congress to preempt state AI laws.</t>
  </si>
  <si>
    <t xml:space="preserve">…nt and the Congress for the past few years…In the House of Representatives and the U.S. Senate, we early on brought in academics, entrepreneurs and leaders from the public, private and non-profit sectors to express AI's opportunities and challenges.
The review is coming down to if and what standards and guardrails should Congress legislate. In addition to focusing on protections, we wanted to pursue improving AI. This work continues under the Bipartisan Task Force on Artificial Intelligence under the leadership of co-chairs Congressman Ted Lieu and Congressman Jay Obernolte. [26](#page-6-2)
⟦Federal Trade Commission Chair Andrew Ferguson stated the risk of overregulating AI more bluntly: "Such regulation could strangle this nascent technology in its cradle, or move the development of the technology to foreign states hostile to our national interests."[27](#page-6-3) Allowing
https://www.ftc.gov/system/files/ftc\_gov/pdf/ferguson-ai-6b-statement.pdf.
&lt;span id="page-6-0"&gt;&lt;/span&gt;&lt;sup&gt;24&lt;/sup&gt; Devin McCormick, *State AI Policy in 2024: What Happened, What Didn't, and Where do we go From Here?*, LIBERTAS INST. (Jan. 7, 2025), https://libertas.institute/tech-innovation/state-ai-policy-in-2024-whathappened-what-didnt-and-where-do-we-go-from-here/.
&lt;span id="page-6-1"&gt;&lt;/span&gt;&lt;sup&gt;25&lt;/sup&gt; Request for Information on the Development of an Artificial Intelligence (AI) Action Plan, *supra* not[e 5,](#page-2-5) at 9088.
&lt;span id="page-6-2"&gt;&lt;/span&gt;&lt;sup&gt;26&lt;/sup&gt; Press Release, Nancy Pelosi, Pelosi Statement in Opposition to California Senate Bill 1047 (Aug. 16, 2024), https://pelosi.house.gov/news/press-releases/pelosi-statement-opposition-california-senate-bill-1047.
&lt;span id="page-6-3"&gt;&lt;/span&gt;&lt;sup&gt;27&lt;/sup&gt; Andrew N. Ferguson, Comm'r, Fed. Trade Comm'n, Concurring and Dissenting Statement of Commissioner Andrew N. Ferguson Joined by Commissioner Melissa Holyoak Regarding the FTC Staff Report on AI Partnerships &amp; Investments 6(b) Study Matter P246201 (Jan. 17, 2025),
states to take charge on AI policy threatens to create a complicated patchwork of laws that will burden the private sector and harm national interests.[28](#page-7-0)⟧
The AI Action Plan should call on Congress to preempt state AI laws. The Plan should describe the various types of AI laws states have enacted or considered and create an AI law taxonomy. [29](#page-7-1) From there, federal law makers can have an informed conversation about the contours of national AI policy and decide the types of laws the federal government should control rather than states.[30](#page-7-2) The AI Action Plan should also initiate a new round of public comment specifically on federal preemption of state AI laws.
### **III. The AI Action Plan Should Promote Open-Source AI**
…</t>
  </si>
  <si>
    <t xml:space="preserve">89a6beab-0b59-52ea-8674-deaecb2e08ee</t>
  </si>
  <si>
    <t xml:space="preserve">TechFreedom-AI-RFI-2025</t>
  </si>
  <si>
    <t xml:space="preserve">NSF/2025-02305/comments/comment_attachments/TechFreedom-AI-RFI-2025_1.md</t>
  </si>
  <si>
    <t xml:space="preserve">Recognizing this, the Institute for NSF-NIST Trustworthy AI Institute for Law &amp; Society (TRAILS) is the first organization to integrate AI participation, technology and governance during the design, development, deployment and oversight of AI systems. We investigate what trust in AI looks like, how to create technical AI solutions that build trust, and which policy models are effective in sustaining trust.2</t>
  </si>
  <si>
    <t xml:space="preserve">While other nations actively pursue strategies to enhance their AI capabilities and competitiveness, the U.S. must also distinguish its technology through reliability and trustworthiness.</t>
  </si>
  <si>
    <t xml:space="preserve">With that perspective in mind, **TRAILS maintains that the AI Action Plan must center on ensuring that US made AI is trustworthy**.</t>
  </si>
  <si>
    <t xml:space="preserve">…development, deployment, and governance – to ensure that the technology is trustworthy and that people know when to trust it. By fostering trust in AI, we can harness its power to drive human flourishing, ensuring that AI serves to enhance well-being, opportunity, and progress for all.
Sustaining U.S. leadership in AI demands more than continued investment or technological advantage alone—it requires trust. While other nations actively pursue strategies to enhance their AI capabilities and competitiveness, the U.S. must also distinguish its technology through reliability and trustworthiness. ⟦Recognizing this, the Institute for NSF-NIST Trustworthy AI Institute for Law &amp; Society (TRAILS) is the first organization to integrate AI participation, technology and governance during the design, development, deployment and oversight of AI systems. We investigate what trust in AI looks like, how to create technical AI solutions that
&lt;sup&gt;1&lt;/sup&gt; https://www.presidency.ucsb.edu/documents/remarks-the-vice-president-the-artificialintelligence-action-summit-paris-france
![](_page_1_Picture_0.jpeg)
build trust, and which policy models are effective in sustaining trust.2⟧ With that perspective in mind, **TRAILS maintains that the AI Action Plan must center on ensuring that US made AI is trustworthy**. In the pages that follow, TRAILS outlines why trust is important to the success of US AI. We also recommend several policies that the USG should take to sustain its competitiveness in AI.
All of these recommendations are situated from the position that the U.S. cannot take its technological leadership in AI for granted. Policymakers in many other countries are determined to nurture their own domestic suppliers of AI because they believe AI is both a "general-pur…</t>
  </si>
  <si>
    <t xml:space="preserve">1e45d5ac-f510-53e5-9843-db4db45b7c85</t>
  </si>
  <si>
    <t xml:space="preserve">TRAILS-AI-RFI-2025</t>
  </si>
  <si>
    <t xml:space="preserve">NSF/2025-02305/comments/comment_attachments/TRAILS-AI-RFI-2025_1.md</t>
  </si>
  <si>
    <t xml:space="preserve">The FTC actively oversees IoT device security, bringing enforcement actions under Section 5 of the FTC Act,29 publishing guidance,30 and hosting workshops.31 The Federal Drug Administration ("FDA") has looked at connected health devices32 and the Federal Communications Commission ("FCC") has open proceedings on its role in promoting IoT device security33 and making spectrum available for IoT.34 For its part, NIST has produced voluntary, risk-based baselines for IoT security in NISTIR 8259 and 8259A,35 is establishing the IoTAB,36 and is currently initiating security labeling pilot programs for consumer IoT devices and consumer software pursuant to President Biden's May 12, 2021 Executive Order, Improving the Nation's Cybersecurity ("Labeling Pilot Programs"). 37</t>
  </si>
  <si>
    <t xml:space="preserve">The federal government has been heavily engaged in IoT issues, with activity ongoing in numerous fora.</t>
  </si>
  <si>
    <t xml:space="preserve">The FTC actively oversees IoT device security, bringing enforcement actions under Section 5 of the FTC Act,&lt;sup&gt;29&lt;/sup&gt; publishing guidance,&lt;sup&gt;30&lt;/sup&gt; and hosting workshops.&lt;sup&gt;31&lt;/sup&gt; The Federal Drug Administration ("FDA") has looked at connected health devices&lt;sup&gt;32&lt;/sup&gt; and the Federal Communications Commission ("FCC") has open proceedings on its role in promoting IoT device security&lt;sup&gt;33&lt;/sup&gt; and making spectrum available for IoT.&lt;sup&gt;34&lt;/sup&gt; For its part, NIST has produced voluntary, risk-based baselines for IoT security in NISTIR 8259 and 8259A,&lt;sup&gt;35&lt;/sup&gt; is establishing the IoTAB,&lt;sup&gt;36&lt;/sup&gt; and is currently initiating security labeling pilot programs for consumer IoT devices and consumer software pursuant to President Biden's May 12, 2021 Executive Order, *Improving the Nation's Cybersecurity* ("Labeling Pilot Programs"). 37</t>
  </si>
  <si>
    <t xml:space="preserve">**AI Initiatives.**</t>
  </si>
  <si>
    <t xml:space="preserve">…ear delineation of agency jurisdiction, is critical to the development of the Emerging Technology Areas. Today, there are numerous workstreams involving several agencies and the White House underway with respect to IoT, AI, UDS, and the communications supply chain generally. Rather than burden industry with duplicative, overlapping, or contradictory regulatory regimes, the government should strive to pursue a unified approach to addressing the Emerging Technology Areas.
**IoT Initiatives.** The federal government has been heavily engaged in IoT issues, with activity ongoing in numerous fora. ⟦The FTC actively oversees IoT device security, bringing
&lt;sup&gt;27&lt;/sup&gt; FAA Unmanned Aircraft Systems Integration Pilot Program, FAA (2021), [https://www.faa.gov/uas/programs\\_partnerships/completed/integration\\_pilot\\_program/media/IPP](https://www.faa.gov/uas/programs_partnerships/completed/integration_pilot_program/media/IPP_Final_Report_20210712.pdf) [\\_Final\\_Report\\_20210712.pdf](https://www.faa.gov/uas/programs_partnerships/completed/integration_pilot_program/media/IPP_Final_Report_20210712.pdf) ("FAA UAS Integration Pilot Program Report").
&lt;sup&gt;28&lt;/sup&gt; BEYOND, FAA, [https://www.faa.gov/uas/programs\\_partnerships/beyond/](https://www.faa.gov/uas/programs_partnerships/beyond/) (last visited Jan. 25, 2022).
enforcement actions under Section 5 of the FTC Act,&lt;sup&gt;29&lt;/sup&gt; publishing guidance,&lt;sup&gt;30&lt;/sup&gt; and hosting workshops.&lt;sup&gt;31&lt;/sup&gt; The Federal Drug Administration ("FDA") has looked at connected health devices&lt;sup&gt;32&lt;/sup&gt; and the Federal Communications Commission ("FCC") has open proceedings on its role in promoting IoT device security&lt;sup&gt;33&lt;/sup&gt; and making spectrum available for IoT.&lt;sup&gt;34&lt;/sup&gt; For its part, NIST has produced voluntary, risk-based baselines for IoT security in NISTIR 8259 and 8259A,&lt;sup&gt;35&lt;/sup&gt; is establishing the IoTAB,&lt;sup&gt;36&lt;/sup&gt; and is currently initiating security labeling pilot programs for consumer IoT devices and consumer software pursuant to President Biden's May 12, 2021 Executive Order, *Improving the Nation's Cybersecurity* ("Labeling Pilot Programs"). 37⟧
 &lt;sup&gt;29&lt;/sup&gt; *See Privacy and Security Enforcement*, FTC [https://www.ftc.gov/news-events/media](https://www.ftc.gov/news-events/media-resources/protecting-consumer-privacy/privacy-security-enforcement)[resources/protecting-consumer-privacy/privacy-security-enforcement](https://www.ftc.gov/news-events/media-resources/protecting-consumer-privacy/privacy-security-enforcement) (last visited Jan. 25, 2022).
&lt;sup&gt;30&lt;/sup&gt; *See, e.g.*, Careful Connections: Keeping the Internet of Things Secure, FTC (Sept. 2020), [https://www.ftc.gov/system/files/documents/plain-language/913a\\_careful\\_connect…</t>
  </si>
  <si>
    <t xml:space="preserve">796b252c-93d6-5e67-a7fe-1a810c8cad70</t>
  </si>
  <si>
    <t xml:space="preserve">NIST-2021-0007-0059</t>
  </si>
  <si>
    <t xml:space="preserve">NIST/2021-25428/comments/comment_attachments/NIST-2021-0007-0059_1.md</t>
  </si>
  <si>
    <t xml:space="preserve">On the government side, NIST has led IoT workstreams for years; it has developed general baselines as well as applications to home automation and industrial IoT, and is developing pilot programs for device labeling under the May 12, 2021 Executive Order, Improving the Nation's Cybersecurity ("Cyber EO").27</t>
  </si>
  <si>
    <t xml:space="preserve">Multiple IoT-related public and private workstreams are ongoing already, giving NIST an opportunity to help policymakers build on existing approaches.</t>
  </si>
  <si>
    <t xml:space="preserve">On the government side, NIST has led IoT workstreams for years; it has developed general baselines as well as applications to home automation and industrial IoT, and is developing pilot programs for device labeling under the May 12, 2021 Executive Order, *Improving the Nation's Cybersecurity* ("Cyber EO").&lt;sup&gt;27&lt;/sup&gt;</t>
  </si>
  <si>
    <t xml:space="preserve">The Federal Trade Commission ("FTC") oversees IoT device security under Section 5 of the FTC Act through enforcement actions, &lt;sup&gt;28&lt;/sup&gt; guidance,&lt;sup&gt;29&lt;/sup&gt; and workshops.&lt;sup&gt;30&lt;/sup&gt;</t>
  </si>
  <si>
    <t xml:space="preserve">… that approaches remain risk-based and led by innovators. For example, the C2 Consensus on IoT Device Security Baseline Capabilities ("C2 Consensus") sets out baseline expectations for lifecycle management,&lt;sup&gt;26&lt;/sup&gt; and satellite can support lifecycle management and software updates for IoT. NIST should remind policymakers that a risk-based approach to privacy is needed to allow for industry innovation while still fostering consumer trust.
Multiple IoT-related public and private workstreams are ongoing already, giving NIST an opportunity to help policymakers build on existing approaches. ⟦On the government side, NIST has led IoT workstreams for years; it has developed general baselines as well as applications to
&lt;sup&gt;24&lt;/sup&gt; Department of Commerce, Interim Final Rule, Securing the Information and Communications Technology and Services Supply Chain, 86 Fed. Reg. 4909 (Jan. 19, 2021).
&lt;sup&gt;25&lt;/sup&gt; *Protecting Against National Security Threats to the Communications Supply Chain through the Equipment Authorization Program; Protecting Against National Security Threats to the Communications Supply Chain through the Competitive Bidding Program*, Notice of Proposed Rulemaking and Notice of Inquiry, FCC 21-73, ET Docket No. 21-232, EA Docket No. 21-233 (June 17, 2021), [https://docs.fcc.gov/public/attachments/fcc-21-73a1.pdf.](https://docs.fcc.gov/public/attachments/fcc-21-73a1.pdf)
&lt;sup&gt;26&lt;/sup&gt; Council to Secure the Digital Economy, The C2 Consensus on IoT Device Security Baseline Capabilities (2019), &lt;https://csde.org/projects/c2-consensus/&gt; (*see also* 2021 Supplement) ("C2 Consensus").
home automation and industrial IoT, and is developing pilot programs for device labeling under the May 12, 2021 Executive Order, *Improving the Nation's Cybersecurity* ("Cyber EO").&lt;sup&gt;27&lt;/sup&gt;⟧ The Federal Trade Commission ("FTC") oversees IoT device security under Section 5 of the FTC Act through enforcement actions, &lt;sup&gt;28&lt;/sup&gt; guidance,&lt;sup&gt;29&lt;/sup&gt; and workshops.&lt;sup&gt;30&lt;/sup&gt; The FCC has been involved in IoT, releasing a Notice of Inquiry relating to spectrum requirements last September. &lt;sup&gt;31&lt;/sup&gt; DHS's ICT SCRM Task Force is "the United States' preeminent public-private supply chain risk management partnership." &lt;sup&gt;32&lt;/sup&gt; And in 2019, the Consumer Product Safety Commission created an Interagency Working Group on Consumer Product Safety of Internet-Connected Products. …</t>
  </si>
  <si>
    <t xml:space="preserve">fb09ef60-3cb8-5db6-8902-fb50d79915d2</t>
  </si>
  <si>
    <t xml:space="preserve">NIST-2021-0007-0067</t>
  </si>
  <si>
    <t xml:space="preserve">NIST/2021-25428/comments/comment_attachments/NIST-2021-0007-0067_1.md</t>
  </si>
  <si>
    <t xml:space="preserve">In July 2023, the Federal Energy Regulatory Commission (FERC) issued a unanimous, bipartisan decision, Order 2023, to improve generator interconnection processes.[15]</t>
  </si>
  <si>
    <t xml:space="preserve">ii.</t>
  </si>
  <si>
    <t xml:space="preserve">*Explore additional interconnection reforms:* In July 2023, the Federal Energy Regulatory Commission (FERC) issued a unanimous, bipartisan decision, Order 2023, to improve generator interconnection processes.[15](#page-8-0)</t>
  </si>
  <si>
    <t xml:space="preserve">The key reform is a requirement for grid operators to adopt a cluster-study approach, allowing interconnection requests to be reviewed in groups rather than individually.</t>
  </si>
  <si>
    <t xml:space="preserve">… reliable grid modernization. A faster, more streamlined approach to permitting and multi-state infrastructure development is needed to drive economic growth and compete globally, particularly with China. There is broad, bipartisan agreement that unrestricted judicial review delays energy projects and related infrastructure. We recommend that the AI Action Plan propose permitting reforms to ensure greater certainty for energy projects while maintaining crucial environmental and community protections that help grow community support for data centers in the localities where they reside.
  - ii. ⟦*Explore additional interconnection reforms:* In July 2023, the Federal Energy Regulatory Commission (FERC) issued a unanimous, bipartisan decision, Order
&lt;span id="page-7-0"&gt;&lt;/span&gt;&lt;sup&gt;12&lt;/sup&gt; Electric Power Research Institute. "DCFlex: Optimize Data Center Operational Flexibility to Help Strengthen the Grid." EPRI, 2025. https://publicdownload.epri.com/PublicAttachmentDownload.svc/AttachmentId=90809.
&lt;span id="page-7-1"&gt;&lt;/span&gt;&lt;sup&gt;13&lt;/sup&gt; Lu, W., J. Wang, X. Chen, and Y. He. "A Data-Driven Method for Predicting Failures in Solar Panels and Wind Turbines." *IEEE Transactions on Sustainable Energy* 9, no. 2 (2018): 734-743.
&lt;span id="page-7-2"&gt;&lt;/span&gt;&lt;sup&gt;14&lt;/sup&gt; IRENA. *Artificial Intelligence and Big Data for Energy Systems*. Abu Dhabi: International Renewable Energy Agency, 2022, p. 9-10, https://www.irena.org/publications/2019/Sep/Artificial-Intelligence-and-Big-Data..
2023, to improve generator interconnection processes.[15](#page-8-0)⟧ The key reform is a requirement for grid operators to adopt a cluster-study approach, allowing interconnection requests to be reviewed in groups rather than individually. Order 2023 also includes secondary reforms, such as improved transparency of the transmission system. While these changes are beneficial, they will not significantly alter the current challenges with interconnection.[16](#page-8-1) The AI Action Plan should include a consultation with stakeholders to determine what additional interconnection reforms could help to unlock incentivizing utilities to add new generation capacity.…</t>
  </si>
  <si>
    <t xml:space="preserve">133ffce7-f847-5642-9dda-e516a4c4ef68</t>
  </si>
  <si>
    <t xml:space="preserve">AI-RFI-2025-3479</t>
  </si>
  <si>
    <t xml:space="preserve">NSF/2025-02305/comments/comment_attachments/AI-RFI-2025-3479_1.md</t>
  </si>
  <si>
    <t xml:space="preserve">030ab174-6777-50e5-9b02-fb5842ca7189</t>
  </si>
  <si>
    <t xml:space="preserve">We encourage NIST to remain closely involved with AI standards under development-including ISO 27090, 27091, 42005, and 42006-and to adopt a similar approach to them as ISO 42001. 67</t>
  </si>
  <si>
    <t xml:space="preserve">We encourage NIST to incorporate ISO 42001 into its own recommendations for trustworthy AI and to work closely with interagency stakeholders to incorporate this standard by reference into regulation where appropriate.</t>
  </si>
  <si>
    <t xml:space="preserve">We encourage NIST to remain closely involved with AI standards under development—including ISO 27090, 27091, 42005, and 42006—and to adopt a similar approach to them as ISO 42001. 67</t>
  </si>
  <si>
    <t xml:space="preserve">…le, ISO recently published the ISO 42001 standard, which establishes a management framework for organizations involved in developing, providing, or using AI-based products or services. We believe this standard represents a significant advancement in AI risk management, and we've built an AI and advanced technologies governance program that is aligned with the ISO 42001 approach. We encourage NIST to incorporate ISO 42001 into its own recommendations for trustworthy AI and to work closely with interagency stakeholders to incorporate this standard by reference into regulation where appropriate. ⟦We encourage NIST to remain
&lt;sup&gt;65&lt;/sup&gt; *[Generative](https://policies.google.com/terms/generative-ai/use-policy) AI Prohibited Use Policy*, Google (Mar. 14, 2023).
&lt;sup&gt;66&lt;/sup&gt; NIST, *Crosswalks to the NIST Artificial Intelligence Risk [Management](https://www.nist.gov/itl/ai-risk-management-framework/crosswalks-nist-artificial-intelligence-risk-management-framework) Framework (AI RMF 1.0)* (2023).
closely involved with AI standards under development—including ISO 27090, 27091, 42005, and 42006—and to adopt a similar approach to them as ISO 42001. 67⟧
### **B. Advancing Globally Harmonized Safety Practices**
NIST should also continue to closely monitor and engage with international efforts to develop accepted principles and standards through global consensus-building. AI is inherently a cross-border technology, &lt;sup&gt;68&lt;/sup&gt; and we're beginning to see emerging outlines of an international framework for responsible AI innovation. 69
For example, countries like Australia, Chile, New Zealand, Singapore, and the UK have pioneered new trade [agreements](https://www.mti.gov.sg/Trade/Digital-Economy-Agreements/The-Digital-Economy-Partnership-A…</t>
  </si>
  <si>
    <t xml:space="preserve">34972967-83a5-5e62-b370-4c6ba2fbf800</t>
  </si>
  <si>
    <t xml:space="preserve">NIST-2023-0009-0195</t>
  </si>
  <si>
    <t xml:space="preserve">NIST/2023-28232/comments/comment_attachments/NIST-2023-0009-0195_1.md</t>
  </si>
  <si>
    <t xml:space="preserve">anchor</t>
  </si>
  <si>
    <t xml:space="preserve">The idea of "system cards," for example, built on the documentation frameworks geared toward individual system components like datasets or models, and may be helpful in addressing this gap by capturing how multiple system components interact.  For example, high-level narrative or visual depictions of the step-by-step processes that systems employ (e.g. pre-training, reinforcement learning from human feedback, prompt engineering, safety filters) to transform inputs into outputs can inform external stakeholders, including both downstream deployers and academic researchers, about the contours of these systems.</t>
  </si>
  <si>
    <t xml:space="preserve">Both civil society actors and deep learning experts have noted the utility of such high-level descriptions of systems.</t>
  </si>
  <si>
    <t xml:space="preserve">The idea of "system cards," for example, built on the documentation frameworks geared toward individual system components like datasets or models, and may be helpful in addressing this gap by capturing how multiple system components interact. For example, high-level narrative or visual depictions of the step-by-step processes that systems employ (e.g. pre-training, reinforcement learning from human feedback, prompt engineering, safety filters) to transform inputs into outputs can inform external stakeholders, including both downstream deployers and academic researchers, about the contours of these systems.</t>
  </si>
  <si>
    <t xml:space="preserve">Moreover, the act of producing such depictions can help developers themselves identify potential problems in the system's logic. 37</t>
  </si>
  <si>
    <t xml:space="preserve">…ifications made by downstream deployers for specific use cases.
Since generative AI systems rely on a multitude of components beyond a foundation model such as user interfaces, safety classifiers, and prompt engineering interventions, higher-order, system-level documentation can also help both internal and external actors better understand the computational pipeline that produces the foundation model outputs and how steps in this pipeline could affect downstream deployments. Both civil society actors and deep learning experts have noted the utility of such high-level descriptions of systems. ⟦The idea of "system cards," for example, built on the documentation frameworks geared toward individual system components like datasets or models, and may be helpful in addressing this gap by capturing how multiple system components interact. &lt;sup&gt;36&lt;/sup&gt; For example, high-level narrative or visual depictions of the step-by-step processes that systems employ (e.g. pre-training, reinforcement learning from human feedback, prompt engineering, safety filters) to transform inputs into outputs can inform external stakeholders, including both downstream deployers and academic researchers, about the contours of these systems.⟧ Moreover, the act of producing such depictions can help developers themselves identify potential problems in the system's logic. 37
The idea of system cards has begun to see adoption by AI system developers and deployers, 38 which is encouraging; however, as with other forms of documentation, system-level documentation will be most useful if it follows a standardized format. We encourage NIST to provide guidance to AI practitioners on how structured documentation can include higher-level depictions of the overarching system, including both core foundation model system elements as well as any…</t>
  </si>
  <si>
    <t xml:space="preserve">89cbf6a4-38cf-5941-923f-145d91ef9abf</t>
  </si>
  <si>
    <t xml:space="preserve">NIST-2023-0009-0080</t>
  </si>
  <si>
    <t xml:space="preserve">NIST/2023-28232/comments/comment_attachments/NIST-2023-0009-0080_1.md</t>
  </si>
  <si>
    <t xml:space="preserve">Large enterprises, particularly those near AI innovation centers, are rapidly incorporating AI capabilities; Hunt's work shows that finance and insurance industries, traditionally concentrated in major metropolitan areas, are seeing some of the fastest growth in AI job postings. Meanwhile, businesses in sectors like retail trade and warehousing, often located away from tech hubs, show markedly slower AI adoption rates8-as do smaller businesses.9</t>
  </si>
  <si>
    <t xml:space="preserve">These geographic disparities in AI expertise manifest in several ways.</t>
  </si>
  <si>
    <t xml:space="preserve">Large enterprises, particularly those near AI innovation centers, are rapidly incorporating AI capabilities; Hunt's work shows that finance and insurance industries, traditionally concentrated in major metropolitan areas, are seeing some of the fastest growth in AI job postings. Meanwhile, businesses in sectors like retail trade and warehousing, often located away from tech hubs, show markedly slower AI adoption rates&lt;sup&gt;8&lt;/sup&gt;—as do smaller businesses.&lt;sup&gt;9&lt;/sup&gt;</t>
  </si>
  <si>
    <t xml:space="preserve">The differences in AI uptick lt;sup&gt;4&lt;/sup&gt; Muro, Mark, and Yang You.</t>
  </si>
  <si>
    <t xml:space="preserve">…wn on their talent and infrastructure to thrive in the AI era. While their success is laudable, the fact that the rest of America is missing out raises concerns. "AI innovation hotspots," to borrow Hunt's term, have disproportionately high rates of AI hiring, growth in AI R&amp;D, and overall economic growth. Those economic and knowledge gains, though, are not spreading. A lack of digital skills and knowledge persists in communities with lower educational attainment, less economic security, and more rural geographic settings.
These geographic disparities in AI expertise manifest in several ways. ⟦Large enterprises, particularly those near AI innovation centers, are rapidly incorporating AI capabilities; Hunt's work shows that finance and insurance industries, traditionally concentrated in major metropolitan areas, are seeing some of the fastest growth in AI job postings. Meanwhile, businesses in sectors like retail trade and warehousing, often located away from tech hubs, show markedly slower AI adoption rates&lt;sup&gt;8&lt;/sup&gt;—as do smaller businesses.&lt;sup&gt;9&lt;/sup&gt;⟧ The differences in AI uptick
&lt;sup&gt;&amp;&lt;/sup&gt;lt;sup&gt;4&lt;/sup&gt; Muro, Mark, and Yang You. "Superstars, Rising Stars, and the Rest: Pandemic Trends and Shifts in the Geography of Tech." Brookings Institute, March 8, 2022.
https://www.brookings.edu/articles/superstars-rising-stars-and-the-rest-pandemic-trends-and-shifts-in-the-geography-of-tech/.
Anderson, Emily A. Vogels and Monica. "Americans and Digital Knowledge in 2019." Pew Research Center (blog), October 9, 2019.
&lt;sup&gt;&amp;&lt;/sup&gt;lt;sup&gt;5&lt;/sup&gt; Anderson, Emily A. Vogels and Monica. "Americans and Digital Knowledge in 2019." *Pew Research Center* …</t>
  </si>
  <si>
    <t xml:space="preserve">6c3c1dfe-9405-58ad-a508-56f3009a0459</t>
  </si>
  <si>
    <t xml:space="preserve">Kevin-Frazier-AI-RFI-2025</t>
  </si>
  <si>
    <t xml:space="preserve">NSF/2025-02305/comments/comment_attachments/Kevin-Frazier-AI-RFI-2025_1.md</t>
  </si>
  <si>
    <t xml:space="preserve">In the longer term, enterprises will be able to reorganize operations around machine learning and AI's unique possibilities.1 Workday has supported legislation that would ensure policymakers assess the use of machine learning and AI and its potential societal implications and risks, while avoiding measures that could needlessly stifle innovation.2 Promoting the thoughtful and responsible adoption of AI has been and will continue to remain a fundamental component of Workday's public policy agenda 34</t>
  </si>
  <si>
    <t xml:space="preserve">Workday believes these technologies have the potential to impact enterprises in the near-term by making operations more efficient.</t>
  </si>
  <si>
    <t xml:space="preserve">In the longer term, enterprises will be able to reorganize operations around machine learning and AI's unique possibilities.&lt;sup&gt;1&lt;/sup&gt; Workday has supported legislation that would ensure policymakers assess the use of machine learning and AI and its potential societal implications and risks, while avoiding measures that could needlessly stifle innovation.&lt;sup&gt;2&lt;/sup&gt; Promoting the thoughtful and responsible adoption of AI has been and will continue to remain a fundamental component of Workday's public policy agenda</t>
  </si>
  <si>
    <t xml:space="preserve">Workday is pleased to assist NIST in understanding the current status and plans regarding the development of AI technical standards and tools, the challenges related to the development of AI standards, and the role Federal agencies will play in all of this.</t>
  </si>
  <si>
    <t xml:space="preserve">…ses to process a wide variety of human resources and finance-related transactions, gain new insights into their workforce and financial performance, and manage employee outcomes consistently on a companywide basis.
Within its applications, Workday incorporates machine learning and AI technologies that enable its customers to make more informed decisions and accelerate operations, as well as assist workers with data-driven predictions that lead to better outcomes. Workday believes these technologies have the potential to impact enterprises in the near-term by making operations more efficient. ⟦In the longer term, enterprises will be able to reorganize operations around machine learning and AI's unique possibilities.&lt;sup&gt;1&lt;/sup&gt; Workday has supported legislation that would ensure policymakers assess the use of machine learning and AI and its potential societal implications and risks, while avoiding measures that could needlessly stifle innovation.&lt;sup&gt;2&lt;/sup&gt; Promoting the thoughtful and responsible adoption of AI has been and will continue to remain a fundamental component of Workday's public policy agenda⟧ &lt;sup&gt;34&lt;/sup&gt;
&lt;sup&gt;1&lt;/sup&gt; See *Introducing Workday's AI Maturity Model: The Four Waves of the Intelligent Business,* Workday (Nov 15, 2017), available at&lt;https://blogs.workday.com/introducing-workdays-ai-maturity-model-the-four-waves-of-the-intelligent-business/&gt;
&lt;sup&gt;2&lt;/sup&gt; See *The Future of AI Act -- A Promising Step*, Workday (Dec 14, 2017), available at [https://www.linkedin.com/pulse/future](https://www.linkedin.com/pulse/future-ai-act-promising-step-jim-shaughnessy/)[ai-act-promising-step-jim-shaughnessy/](https://www.linkedin.com/pulse/future-ai-act-promising-step-jim-shaughnessy/…</t>
  </si>
  <si>
    <t xml:space="preserve">bec40903-e7f2-50f1-9606-0f9d36a57856</t>
  </si>
  <si>
    <t xml:space="preserve">NIST-2019-0001-0061</t>
  </si>
  <si>
    <t xml:space="preserve">NIST/2019-08818/comments/comment_attachments/NIST-2019-0001-0061_1.md</t>
  </si>
  <si>
    <t xml:space="preserve">A highly complex system, like AI, that confidently presents analytics as though they are based in fact and embedded with shared values-when they may not be at all-poses a sharp risk for human overestimation and overreliance due to this bias and the false (or real but problematic) efficiencies AI may offer. Given the novelty of the most advanced tools and the history of problematic applications of existing decision-making models, government agencies should demonstrate their safety and fidelity to NIST standards as a first step in governance.Under the OMB guidance, agency leadership wields considerable discretion in determining what risks matter and how they will be mitigated, and more structure and guidance on appropriate responses to risks and mitigations will certainly be needed. The Memo's lack of clarity on these points raises the possibility that problems will not be acknowledged or adequately addressed.Moving quickly to achieve transparency, accountability, identify limitations, and map use cases across the government is an excellent idea. But pushing agencies to rapidly integrate poorly tested and evaluated tools for more uses of AI in government, given the need for basic research on transparency, accountability, and other standards, as well as for a delineated process for public input and specific requirements for engagement with impacted communities, is not. We concur with the comments of The Leadership Conference on Civil Rights that "only AI that is proven to be equitable should be developed, acquired, or used," and would urge that forbearance to be exercised across all of the factors identified in the NIST RMF.Instead of caution, however, throughout the OMB Memo, the agencies are generally encouraged to adopt new AI systems and build human resources to support it, in subtle and not-so-subtle ways. For just a few examples, p. 8 directs that "[a]gencies must improve their ability to use AI in ways that benefit the public and increase mission effectiveness," while recognizing its limitations. On p. 9, the text notes that "[e]mbracing innovation requires removing unnecessary and unhelpful barriers to the use of AI."We are concerned that the breathlessness of the conversation around AI and U.S. competitiveness will encourage agency leadership to extend or deepen uses of AI regardless of the substantial-and in some cases-insurmountable problems with specific uses by governments. A[s Elham Tabassi,](https://www.nist.gov/people/elham-tabassi) the head of NIST's Trustworthy and Responsible AI Program, noted in her remarks at the recen[t NIST workshop,](https://cdnapisec.kaltura.com/index.php/extwidget/preview/partner_id/684682/uiconf_id/31013851/entry_id/1_hrz5gxg0/embed/dynamic#t=41:30) the measurement science for AI tools is very underdeveloped at the moment.</t>
  </si>
  <si>
    <t xml:space="preserve">The [OMB Memo](https://www.whitehouse.gov/wp-content/uploads/2023/11/AI-in-Government-Memo-draft-for-public-review.pdf)'s definitions section usefully describes this as "automation bias: [t]he propensity for humans to inordinately favor suggestions from automated decision-making systems and to ignore or fail to seek out contradictory information made without automation."</t>
  </si>
  <si>
    <t xml:space="preserve">A highly complex system, like AI, that confidently presents analytics as though they are based in fact and embedded with shared values—when they may not be at all—poses a sharp risk for human overestimation and overreliance due to this bias and the false (or real but problematic) efficiencies AI may offer. Given the novelty of the most advanced tools and the history of problematic applications of existing decision-making models, government agencies should demonstrate their safety and fidelity to NIST standards as a first step in governance. Under the OMB guidance, agency leadership wields considerable discretion in determining what risks matter and how they will be mitigated, and more structure and guidance on appropriate responses to risks and mitigations will certainly be needed. The Memo's lack of clarity on these points raises the possibility that problems will not be acknowledged or adequately addressed. Moving quickly to achieve transparency, accountability, identify limitations, and map use cases across the government is an excellent idea. But pushing agencies to rapidly integrate poorly tested and evaluated tools for more uses of AI in government, given the need for basic research on transparency, accountability, and other standards, as well as for a delineated process for public input and specific requirements for engagement with impacted communities, is not. We concur with the comments of The Leadership Conference on Civil Rights that "only AI that is proven to be equitable should be developed, acquired, or used," and would urge that forbearance to be exercised across all of the factors identified in the NIST RMF. Instead of caution, however, throughout the OMB Memo, the agencies are generally encouraged to adopt new AI systems and build human resources to support it, in subtle and not-so-subtle ways. For just a few examples, p. 8 directs that "[a]gencies must improve their ability to use AI in ways that benefit the public and increase mission effectiveness," while recognizing its limitations. On p. 9, the text notes that "[e]mbracing innovation requires removing unnecessary and unhelpful barriers to the use of AI." We are concerned that the breathlessness of the conversation around AI and U.S. competitiveness will encourage agency leadership to extend or deepen uses of AI regardless of the substantial—and in some cases—insurmountable problems with specific uses by governments. A[s Elham Tabassi,](https://www.nist.gov/people/elham-tabassi) the head of NIST's Trustworthy and Responsible AI Program, noted in her remarks at the recen[t NIST workshop,](https://cdnapisec.kaltura.com/index.php/extwidget/preview/partner_id/684682/uiconf_id/31013851/entry_id/1_hrz5gxg0/embed/dynamic#t=41:30) the measurement science for AI tools is very underdeveloped at the moment.</t>
  </si>
  <si>
    <t xml:space="preserve">The NIST RMF is also clear that, with regard to AI's risks and capacities, we are in an evolving situation:</t>
  </si>
  <si>
    <t xml:space="preserve">…ic officials.
There is a very human temptation to be attracted to new tools, but to set aside their limitations, ignore their under-developed state for specific uses, or assume humans will understand how to best apply them. The [OMB Memo](https://www.whitehouse.gov/wp-content/uploads/2023/11/AI-in-Government-Memo-draft-for-public-review.pdf)'s definitions section usefully describes this as "automation bias: [t]he propensity for humans to inordinately favor suggestions from automated decision-making systems and to ignore or fail to seek out contradictory information made without automation."
⟦A highly complex system, like AI, that confidently presents analytics as though they are based in fact and embedded with shared values—when they may not be at all—poses a sharp risk for human overestimation and overreliance due to this bias and the false (or real but problematic) efficiencies AI may offer. Given the novelty of the most advanced tools and the history of problematic applications of existing decision-making models, government agencies should demonstrate their safety and fidelity to NIST standards as a first step in governance.
Under the OMB guidance, agency leadership wields considerable discretion in determining what risks matter and how they will be mitigated, and more structure and guidance on appropriate responses to risks and mitigations will certainly be needed. The Memo's lack of clarity on these points raises the possibility that problems will not be acknowledged or adequately addressed.
Moving quickly to achieve transparency, accountability, identify limitations, and map use cases across the government is an excellent idea. But pushing agencies to rapidly integrate poorly tested and evaluated tools for more uses of AI in government, given the need for basic research on transparency, accountability, and other standards, as well as for a delineated process for public input and specific requirements for engagement with impacted communities, is not. We concur with the comments of The Leadership Conference on Civil Rights that "only AI that is proven to be equitable should be developed, acquired, or used," and would urge that forbearance to be exercised across all of the factors identified in the NIST RMF.
Instead of caution, however, throughout the OMB Memo, the agencies are generally encouraged to adopt new AI systems and build human resources to support it, in subtle and not-so-subtle ways. For just a few examples, p. 8 directs that "[a]gencies must improve their ability to use AI in ways that benefit the public and increase mission effectiveness," while recognizing its limitations. On p. 9, the text notes that "[e]mbracing innovation requires removing unnecessary and unhelpful barriers to the use of AI."
We are concerned that the breathlessness of the conversation around AI and U.S. competitiveness will encourage agency leadership to extend or deepen uses of AI regardless of the substantial—and in some cases—insurmountable problems with specific uses by governments. A[s Elham Tabassi,](https://www.nist.gov/people/elham-tabassi) the head of NIST's Trustworthy and Responsible AI Program, noted in her remarks at the recen[t NIST workshop,](https://cdnapisec.kaltura.com/index.php/extwidget/preview/partner_id/684682/uiconf_id/31013851/entry_id/1_hrz5gxg0/embed/dynamic#t=41:30) the measurement science for AI tools is very underdeveloped at the moment.⟧ The NIST RMF is also clear that, with regard to AI's risks and capacities, we are in an evolving situation:
While there are myriad standards and best practices to help organizations mitigate the risks of traditional software or information-based systems, the risks posed by AI systems are in many ways unique. [] AI systems, for example, may be trained on data that can change over time, sometimes significantly and unexpectedly, affecting system functionality and trustworthiness in ways that are hard to understand. AI systems and the contexts in which they are deployed are frequently complex, m…</t>
  </si>
  <si>
    <t xml:space="preserve">b0a0d730-07e9-5295-97d8-023e02411c56</t>
  </si>
  <si>
    <t xml:space="preserve">OMB-2023-0020-0176</t>
  </si>
  <si>
    <t xml:space="preserve">OMB/2023-24269/comments/comment_attachments/OMB-2023-0020-0176_1.md</t>
  </si>
  <si>
    <t xml:space="preserve">Executive Order 14091 broadly required agencies to consider opportunities to "prevent and remedy discrimination, including by protecting the public from algorithmic discrimination." 2 Executive Order 14110 stated the administration's policy that it "is necessary to hold those developing and deploying AI accountable to standards that protect against unlawful discrimination and abuse, including in the justice system and the Federal Government," 3 and it more broadly directed agencies to use their authorities to prevent and address discrimination in the use of automated systems. 4 The AI Bill of Rights called for designers, developers, and deployers of automated systems to "take proactive and continuous measures to protect individuals and communities from algorithmic discrimination and to use and design systemsin an equitable way," and for "proactive equity assessments as part</t>
  </si>
  <si>
    <t xml:space="preserve">These provisions are consistent with the administration's policy, as expressed through Executive Orders 14091 and 14110, as well as the AI Bill of Rights.</t>
  </si>
  <si>
    <t xml:space="preserve">Executive Order 14091 broadly required agencies to consider opportunities to "prevent and remedy discrimination, including by protecting the public from algorithmic discrimination." 2 Executive Order 14110 stated the administration's policy that it "is necessary to hold those developing and deploying AI accountable to standards that protect against unlawful discrimination and abuse, including in the justice system and the Federal Government," 3 and it more broadly directed agencies to use their authorities to prevent and address discrimination in the use of automated systems. The AI Bill of Rights called for designers, developers, and deployers of automated systems to "take proactive and continuous measures to protect individuals and communities from algorithmic discrimination and to use and design systemsin an equitable way," and for "proactive equity assessments as part [https://www.federalregister.gov/documents/2023/11/01/2023-24283/safe-secure-and-trustworthy-development-and](https://www.federalregister.gov/documents/2023/11/01/2023-24283/safe-secure-and-trustworthy-development-and-use-of-artificial-intelligence) [-use-of-artificial-intelligence](https://www.federalregister.gov/documents/2023/11/01/2023-24283/safe-secure-and-trustworthy-development-and-use-of-artificial-intelligence)</t>
  </si>
  <si>
    <t xml:space="preserve">See,e.g.,* Sections 6, 7, and 8 of Executive Order 14110.</t>
  </si>
  <si>
    <t xml:space="preserve">…ce that disparate impact has been identified. It is critical that the provisions in Section 5(c)(v)(A)-(C) remain in OMB's final memorandum. When the federal government uses algorithmic systems in covered civil rights areas, it must ensure that those systems are regularly tested for disparate effects on a prohibited basis. Similarly, agencies must maintain reasonable measures to search for less discriminatory algorithms on an ongoing basis. These provisions are consistent with the administration's policy, as expressed through Executive Orders 14091 and 14110, as well as the AI Bill of Rights. ⟦Executive Order 14091 broadly required agencies to consider opportunities to "prevent and remedy discrimination, including by protecting the public from algorithmic discrimination." 2 Executive Order 14110 stated the administration's policy that it "is necessary to hold those developing and deploying AI accountable to standards that protect against unlawful discrimination and abuse, including in the justice system and the Federal Government," 3 and it more broadly directed agencies to use their authorities to prevent and address discrimination in the use of automated systems. &lt;sup&gt;4&lt;/sup&gt; The AI Bill of Rights called for designers, developers, and deployers of automated systems to "take proactive and continuous measures to protect individuals and communities from algorithmic discrimination and to use and design systemsin an equitable way," and for "proactive equity assessments as part
&lt;sup&gt;2&lt;/sup&gt; Executive Order 14091, Further Advancing Racial Equity and Support for Underserved Communities Through the Federal Government, 88 Fed. Reg. 10825, 10831, February 22, 2023, available at [https://www.federalregister.gov/documents/2023/02/22/2023-03779/further-advancing-racial-equity-and-support-f](https://www.federalregister.gov/documents/2023/02/22/2023-03779/further-advancing-racial-equity-and-support-for-underserved-communities-through-the-federal) [or-underserved-communities-through-the-federal.](https://www.federalregister.gov/documents/2023/02/22/2023-03779/further-advancing-racial-equity-and-support-for-underserved-communities-through-the-federal)
&lt;sup&gt;3&lt;/sup&gt; Executive Order 14110, Safe, Secure, and Trustworthy Development and Use of Artificial Intelligence, 88 Fed. Reg. 75191, 75192, November 1, 2023, available at
[https://www.federalregister.gov/documents/2023/11/01/2023-24283/safe-secure-and-trustworthy-development-and](https://www.federalregister.gov/documents/2023/11/01/2023-24283/safe-secure-and-trustworthy-development-and-use-of-artificial-intelligence) [-use-of-artificial-intelligence](https://www.federalregister.gov/documents/2023/11/01/2023-24283/safe-secure-and-trustworthy-development-and-use-of-artificial-intelligence)⟧
*&lt;sup&gt;4&lt;/sup&gt; See,e.g.,* Sections 6, 7, and 8 of Executive Order 14110.
![](_page_3_Picture_0.jpeg)
of the system design," as well as "pre-deployment and ongoing disparity testing and mitigation." 5
Such requirements are consistent with recent work by Upturn and our co-authors that argues that the duty to search for less discriminatory algorithms should be on the entities that develop and deploy predictive models. 6 In this case, that duty would fall to federal agencies and their contractors. An often unspoken premise throughout many efforts to regulate algorithmic systems is that for any…</t>
  </si>
  <si>
    <t xml:space="preserve">2ffeb61f-16f9-5e05-842a-d0deef083eca</t>
  </si>
  <si>
    <t xml:space="preserve">OMB-2023-0020-0152</t>
  </si>
  <si>
    <t xml:space="preserve">OMB/2023-24269/comments/comment_attachments/OMB-2023-0020-0152_1.md</t>
  </si>
  <si>
    <t xml:space="preserve">In particular, practitioners should be careful when translating, or operationalizing, abstract properties into concrete quantitative measurements. Take the concept of fairness as an example. At a conceptual level, practitioners could define fairness in various ways, such as ensuring predictive parity among different demographic groups. To measure fairness within an AI system, practitioners must operationalize their conceptual definition of fairness into mathematical metrics that capture specific, measurable information, such as how frequently two different demographic groups receive positive outcomes from the AI system. Yet a single measurement is unlikely to encompass every facet of fairness that practitioners find important. Furthermore, translating a conceptual definition into an operationalized measurement involves making assumptions about the relationship between the two, which may or may not hold in different conditions. Therefore, practitioners should be deliberate in determining which system properties to evaluate at both the conceptual and operational levels, and employ additional evaluation techniques to assess the chosen measurements' adequacy in capturing the relevant system properties. This challenge will remain relevant when it comes to generative AI, so NIST should be particularly attentive to measurement validity in its AI safety efforts. Ideally, chosen measurements should be valid and reliable - that is, tightly related to the overarching goal of a given measurement and stable over time.  If measures of risk are invalid or unreliable, mitigations that appear to be responsive to those measurements are unlikely to be effective at solving the core problem.  Incorporating multiple measures of the same construct is another way to address validity, since it helps gauge the extent to which a construct that may be multifaceted is captured across a set of different measurements.</t>
  </si>
  <si>
    <t xml:space="preserve">Such techniques have long been employed in social science fields, and more recently in machine learning, 10 to translate abstract concepts that cannot be readily observed into concrete measurements.</t>
  </si>
  <si>
    <t xml:space="preserve">In particular, practitioners should be careful when translating, or *operationalizing,* abstract properties into concrete quantitative measurements. Take the concept of fairness as an example. At a conceptual level, practitioners could define fairness in various ways, such as ensuring predictive parity among different demographic groups. To measure fairness within an AI system, practitioners must operationalize their conceptual definition of fairness into mathematical metrics that capture specific, measurable information, such as how frequently two different demographic groups receive positive outcomes from the AI system. Yet a single measurement is unlikely to encompass every facet of fairness that practitioners find important. Furthermore, translating a conceptual definition into an operationalized measurement involves making assumptions about the relationship between the two, which may or may not hold in different conditions. Therefore, practitioners should be deliberate in determining which system properties to evaluate at both the conceptual and operational levels, and employ additional evaluation techniques to assess the chosen measurements' adequacy in capturing the relevant system properties. This challenge will remain relevant when it comes to generative AI, so NIST should be particularly attentive to measurement validity in its AI safety efforts. Ideally, chosen measurements should be *valid* and *reliable —* that is, tightly related to the overarching goal of a given measurement and stable over time. 11 If measures of risk are invalid or unreliable, mitigations that appear to be responsive to those measurements are unlikely to be effective at solving the core problem. 12 Incorporating multiple measures of the same construct is another way to address validity, since it helps gauge the extent to which a construct that may be multifaceted is captured across a set of different measurements.</t>
  </si>
  <si>
    <t xml:space="preserve">To date, such efforts — such as meta-benchmarks like the Holistic Evaluation of Language Models (HELM) framework have been employed primarily to assess system performance, but may also be useful to evaluate potential risks associated with the system when those risks are difficult to operationalize into single measurements.</t>
  </si>
  <si>
    <t xml:space="preserve">… selection of evaluations for standards and benchmarks. &lt;sup&gt;9&lt;/sup&gt; Such techniques have long been employed in social science
&lt;sup&gt;8&lt;/sup&gt; AI RMF 1.0, *supra* note 4
&lt;sup&gt;9&lt;/sup&gt; Oskar Van Der Wal et al., "Undesirable Biases in NLP: Addressing Challenges of Measurement," *Journal of Artificial Intelligence Research* 79 (January 10, 2024): 1–40, [https://doi.org/10.1613/jair.1.15195.](https://doi.org/10.1613/jair.1.15195)
![](_page_5_Picture_0.jpeg)
fields, and more recently in machine learning, 10 to translate abstract concepts that cannot be readily observed into concrete measurements.
⟦In particular, practitioners should be careful when translating, or *operationalizing,* abstract properties into concrete quantitative measurements. Take the concept of fairness as an example. At a conceptual level, practitioners could define fairness in various ways, such as ensuring predictive parity among different demographic groups. To measure fairness within an AI system, practitioners must operationalize their conceptual definition of fairness into mathematical metrics that capture specific, measurable information, such as how frequently two different demographic groups receive positive outcomes from the AI system. Yet a single measurement is unlikely to encompass every facet of fairness that practitioners find important. Furthermore, translating a conceptual definition into an operationalized measurement involves making assumptions about the relationship between the two, which may or may not hold in different conditions. Therefore, practitioners should be deliberate in determining which system properties to evaluate at both the conceptual and operational levels, and employ additional evaluation techniques to assess the chosen measurements' adequacy in capturing the relevant system properties. This challenge will remain relevant when it comes to generative AI, so NIST should be particularly attentive to measurement validity in its AI safety efforts.
Ideally, chosen measurements should be *valid* and *reliable —* that is, tightly related to the overarching goal of a given measurement and stable over time. 11 If measures of risk are invalid or unreliable, mitigations that appear to be responsive to those measurements are unlikely to be effective at solving the core problem. 12 Incorporating multiple measures of the same construct is another way to address validity, since it helps gauge the extent to which a construct that may be multifaceted is captured across a set of different measurements.⟧ To date, such efforts — such
&lt;sup&gt;10&lt;/sup&gt; Abigail Z. Jacobs and Hanna Wallach, "Measurement and Fairness," *Proceedings of the 2021 ACM Conference on Fairness, Accountability, and Transparency (FaccT '21)*, March 1, 2021, &lt;https://doi.org/10.1145/3442188.3445901&gt;; Amy Winecoff, Matthew Sun, Eli Lucherini, and Arvind Narayanan. "Simulation as Experiment: An Empirical Critique of Simulation Research on Recommender Systems" *SimuRec Workshop at the 2021 ACM Conference on Recommender Systems (RecSys '21)*, October 2, 2021. &lt;https://arxiv.org/abs/2107.14333&gt;.
&lt;sup&gt;12&lt;/sup&gt; Van Der Wal et al., *…</t>
  </si>
  <si>
    <t xml:space="preserve">8a7946ef-c420-5b93-92e1-7c89199e1af8</t>
  </si>
  <si>
    <t xml:space="preserve">Standardized benchmarks will also require ongoing research and novel test data creation to ensure they remain durable and applicable to evolving AI models.  Current academic research and public leaderboards tend to focus on static test datasets for AI, but these datasets quickly fail as evaluation resources because, whether intentionally or unintentionally, models become trained and overfit to perform well against the static dataset. 13,14,15,16 Even the models that are used to rate AI outputs can be subject to overfitting unless constantly improved.</t>
  </si>
  <si>
    <t xml:space="preserve">Standardized benchmarks will also require ongoing research and novel test data creation to ensure they remain durable and applicable to evolving AI models. Current academic research and public leaderboards tend to focus on static test datasets for AI, but these datasets quickly fail as evaluation resources because, whether intentionally or unintentionally, models become trained and overfit to perform well against the static dataset. 13,14,15,16 Even the models that are used to rate AI outputs can be subject to overfitting unless constantly improved.</t>
  </si>
  <si>
    <t xml:space="preserve">A constant improvement cycle for safety benchmarks will be needed to prevent overfitting and keep pace with AI technology development, and will demand evolution of both prompts and evaluation methodologies.</t>
  </si>
  <si>
    <t xml:space="preserve">…n accept and manage tests from academic and industry partners, and support multiple evaluation methodologies including algorithms, evaluation models, and human raters. Our projection is that a hybrid approach using humans to shore up the limitations of automatic models is likely for the near term, but we are engineering our platform in a modular manner to accept more substantial innovations. We are also developing the necessary statistical and cost models to support test data generation and response evaluation at industry scale.
# **BENCHMARKS WILL NEED CONSTANT EVALUATION AND CALIBRATION**
⟦Standardized benchmarks will also require ongoing research and novel test data creation to ensure they remain durable and applicable to evolving AI models. &lt;sup&gt;12&lt;/sup&gt; Current academic research and public leaderboards tend to focus on static test datasets for AI, but these datasets quickly fail as evaluation resources because, whether intentionally or unintentionally, models become trained and overfit to perform well against the static dataset. 13,14,15,16 Even the models that are used to rate AI outputs can be subject to overfitting unless constantly improved.⟧ A constant improvement cycle for safety benchmarks will be needed to prevent overfitting and keep pace with AI technology development, and will demand evolution of both prompts and evaluation methodologies. Both conventional policy development and
&lt;sup&gt;7&lt;/sup&gt; Sven Gowal, et al.,, "Improving Robustness using Generated Data," arXiv, October 2021, &lt;https://arxiv.org/abs/2110.09468&gt;.
&lt;sup&gt;8&lt;/sup&gt; Shira Wein, et al., "Follow the leader(board) with confidence: Estimating p-values from a single test set with item and response variance," ACL Anthology, 2023, [https://aclanthology.org/2023.findings…</t>
  </si>
  <si>
    <t xml:space="preserve">9cd8f7f6-41bb-5fbb-9813-3b3049dea59e</t>
  </si>
  <si>
    <t xml:space="preserve">NIST-2024-0002-0010</t>
  </si>
  <si>
    <t xml:space="preserve">NIST/2024-17614/comments/comment_attachments/NIST-2024-0002-0010_1.md</t>
  </si>
  <si>
    <t xml:space="preserve">While exact figures are unknown due to the unwillingness of Big Tech companies to release their data to the public, we know that data centers account for as much as 1.5 percent of total global electricity use 10 and U.S. data center consumption is predicted to double by 2030. 11 Data center energy use already exceeds the commercial airline industry. 12 AI search queries could increase energy consumption by as much as five to twenty fold, according to estimates from industry. 13 Many claim AI will reduce energy consumption, citing as much as a 50 percent efficiency gain in data centers. 14</t>
  </si>
  <si>
    <t xml:space="preserve">Additionally, but no less important, is the staggering amount of energy and physical resources LLMs consume over their life-cycle.</t>
  </si>
  <si>
    <t xml:space="preserve">While exact figures are unknown due to the unwillingness of Big Tech companies to release their data to the public, we know that data centers account for as much as 1.5 percent of total global electricity use &lt;sup&gt;10&lt;/sup&gt; and U.S. data center consumption is predicted to double by 2030. Data center energy use already exceeds the commercial airline industry. AI search queries could increase energy consumption by as much as five to twenty fold, according to estimates from industry. Many claim AI will reduce energy consumption, citing as much as a 50 percent efficiency gain in data centers.</t>
  </si>
  <si>
    <t xml:space="preserve">However this is within the context of vastly expanding per-search energy use, and vastly expanding data centers.</t>
  </si>
  <si>
    <t xml:space="preserve">…ower and whale deaths; &lt;sup&gt;8&lt;/sup&gt; and the disproportionate reach and impact of climate denial narratives during global climate negotiations. &lt;sup&gt;9&lt;/sup&gt; LLMs are likely to make this problem worse, not only because social media content is used to train such models, but also due to the ease with which people and organizations across the globe can use LLMs to produce vast volumes of climate disinformation that is specifically tailored to mislead unique audiences.
Additionally, but no less important, is the staggering amount of energy and physical resources LLMs consume over their life-cycle. ⟦While exact figures are unknown due to the unwillingness of Big Tech companies to release their data to the public, we know that data centers account for as much as 1.5 percent of total global electricity use &lt;sup&gt;10&lt;/sup&gt; and U.S. data center consumption is predicted to double by 2030. &lt;sup&gt;11&lt;/sup&gt; Data center energy use already exceeds the commercial airline industry. &lt;sup&gt;12&lt;/sup&gt; AI search queries could increase energy consumption by as much as five to twenty fold, according to estimates from industry. &lt;sup&gt;13&lt;/sup&gt; Many claim AI will reduce energy consumption, citing as much as a 50 percent efficiency gain in data centers.⟧ &lt;sup&gt;14&lt;/sup&gt; However this is within the context of vastly expanding per-search energy use, and vastly expanding data centers. Simply put, current estimates are that it could more than double energy use.
Given the explosion in use of generative AI—ChatGPT, for example, has grown from 100 million active monthly users to 100 million active weekly users in the year since it launched—it is imperative that we better understand the extent to which it is contributing to the climate crisis. 15
The recent EO from the Biden-Harris Administration directs the Secretary of Energy, National Climate Advis…</t>
  </si>
  <si>
    <t xml:space="preserve">e32aa598-8a82-5650-b378-558e38a843f3</t>
  </si>
  <si>
    <t xml:space="preserve">OMB-2023-0020-0122</t>
  </si>
  <si>
    <t xml:space="preserve">OMB/2023-24269/comments/comment_attachments/OMB-2023-0020-0122_1.md</t>
  </si>
  <si>
    <t xml:space="preserve">Progress has been made on this front in recent years (e.g., the 2020 executive order emphasizing skills over degree requirements and the passage of the Chance to Compete Act) but government can still strengthen its talent pipelines for jobs that do not require a four-year degree-such as those in IT, cyber and AI-by demystifying the hiring process and using rigorous technical assessments to identify qualified talent, building relationships with community colleges and workforce development organizations and by removing barriers to professional development and advancement.</t>
  </si>
  <si>
    <t xml:space="preserve">Unnecessary degree requirements can create barriers for job seekers, particularly in technology-focused occupations.</t>
  </si>
  <si>
    <t xml:space="preserve">Progress has been made on this front in recent years (e.g., the 2020 executive order[ii](#page-3-1) emphasizing skills over degree requirements and the passage of the Chance to Compete Act[iii](#page-3-2)) but government can still strengthen its talent pipelines for jobs that do not require a four-year degree—such as those in IT, cyber and AI—by demystifying the hiring process and using rigorous technical assessments to identify qualified talent, building relationships with community colleges and workforce development organizations and by removing barriers to professional development and advancement.[iv](#page-3-3)</t>
  </si>
  <si>
    <t xml:space="preserve">The AI Action Plan should direct agency human capital leadership to facilitate the use of technical assessments in the hiring process, emphasize that four-year degrees should not be required, and direct Chief Human Capital Officers (CHCOs) to ensure that HR specialists understand what alternate programs and bootcamps confer the required skills absent a formal degree.</t>
  </si>
  <si>
    <t xml:space="preserve">…structure that leverages data and technology, hire recruiters or train current staff on how to attract candidates and guide them through the hiring process, and apply a project management approach to streamlining hiring. These best practices can help overcome a disjointed hiring process and have been used by agencies to rapidly grow their workforces in response to various challenges and initiatives.
# **Deploy skills-based hiring and consider AI-related job classifications:**
Unnecessary degree requirements can create barriers for job seekers, particularly in technology-focused occupations. ⟦Progress has been made on this front in recent years (e.g., the 2020 executive order[ii](#page-3-1) emphasizing skills over degree requirements and the passage of the Chance to Compete Act[iii](#page-3-2)) but government can still strengthen its talent pipelines for jobs that do not require a four-year degree—such as those in IT, cyber and AI—by demystifying the hiring process and using rigorous technical assessments to identify qualified talent, building relationships with community colleges and workforce development organizations and by removing barriers to professional development and advancement.[iv](#page-3-3)⟧
The AI Action Plan should direct agency human capital leadership to facilitate the use of technical assessments in the hiring process, emphasize that four-year degrees should not be required, and direct Chief Human Capital Officers (CHCOs) to ensure that HR specialists understand what alternate programs and bootcamps confer the required skills absent a formal degree.
Additionally, agencies should be directed to identify which occupational series they will use to fill AI roles, as these positions encompass a range of work beyond IT Specialist (2210), Computer Scientist (1550), Computer Engin…</t>
  </si>
  <si>
    <t xml:space="preserve">18f709e1-eab6-5754-ac2f-57c8190a2bdb</t>
  </si>
  <si>
    <t xml:space="preserve">Partnership-for-Public-Service-RFI-2025</t>
  </si>
  <si>
    <t xml:space="preserve">NSF/2025-02305/comments/comment_attachments/Partnership-for-Public-Service-RFI-2025_1.md</t>
  </si>
  <si>
    <t xml:space="preserve">The questions posed in the OMB's RFI effectively highlight essential considerations for creating detailed procurement guidelines. These guidelines are designed to foster market participation and implement stringent risk management measures in alignment with the latest OMB directives[1] on AI governance, which emphasize the minimum requirements for safety and rights-impacting AI within federal agencies.</t>
  </si>
  <si>
    <t xml:space="preserve">The focus on addressing major procurement challenges, particularly market competition and risk management, is crucial for responsibly deploying AI solutions.</t>
  </si>
  <si>
    <t xml:space="preserve">The questions posed in the OMB's RFI effectively highlight essential considerations for creating detailed procurement guidelines. These guidelines are designed to foster market participation and implement stringent risk management measures in alignment with the latest OMB directives[1](#page-1-0) on AI governance, which emphasize the minimum requirements for safety and rightsimpacting AI within federal agencies.</t>
  </si>
  <si>
    <t xml:space="preserve">We support the ongoing initiatives to mitigate risks and enhance the benefits of AI, highlighting the importance of equity and civil rights in the OMB's guidance to promote safe and fair AI systems that prevent algorithmic bias.</t>
  </si>
  <si>
    <t xml:space="preserve">…n and ensuring equal opportunities for all people. As the trade association for over 170 fair housing and justice-centered organizations and individuals throughout the U.S. and its territories, NFHA works to dismantle longstanding barriers to equity and build diverse, inclusive, well-resourced communities.
We applaud the OMB's diligent efforts in engaging a wide array of stakeholders to procure AI systems responsibly for government use. The focus on addressing major procurement challenges, particularly market competition and risk management, is crucial for responsibly deploying AI solutions. ⟦The questions posed in the OMB's RFI effectively highlight essential considerations for creating detailed procurement guidelines. These guidelines are designed to foster market participation and implement stringent risk management measures in alignment with the latest OMB directives[1](#page-1-0) on AI governance, which emphasize the minimum requirements for safety and rightsimpacting AI within federal agencies.⟧ We support the ongoing initiatives to mitigate risks and enhance the benefits of AI, highlighting the importance of equity and civil rights in the OMB's guidance to promote safe and fair AI systems that prevent algorithmic bias.
# **Questions posed in the RFI**
*Question 6. Which elements of testing, evaluation, and impact assessments are best conducted by the vendor, and which responsibilities should remain with the agencies?* 
## **INTRODUCTION**
Procuring AI systems involves a nuanced and multifaceted process that necessitates procedural standards. The following section will stress the…</t>
  </si>
  <si>
    <t xml:space="preserve">63660b4c-9abf-54f3-98d6-2c2089a88dfe</t>
  </si>
  <si>
    <t xml:space="preserve">Independent third-party assurance is a robust process through which an independen[t] 1 practitioner performs procedures and obtains evidence in order to issue a report that includes an opinion or conclusion about the subject matter, or about an entity's statement or assertion regarding that subject matter, which enhances the degree of confidence for decision-makers relying on the subject matter of the engagement.</t>
  </si>
  <si>
    <t xml:space="preserve">Independent third-party assurance is a robust process through which an independen[t](#page-0-0)&lt;sup&gt;1&lt;/sup&gt; practitioner performs procedures and obtains evidence in order to issue a report that includes an opinion or conclusion about the subject matter, or about an entity's statement or assertion regarding that subject matter, which enhances the degree of confidence for decision-makers relying on the subject matter of the engagement.</t>
  </si>
  <si>
    <t xml:space="preserve">This process has been applied through the audits of financial statements of private and public companies for nearly a century and serves as a cornerstone of trust in the capital markets.</t>
  </si>
  <si>
    <t xml:space="preserve">… NITRD/NCO, NSF and OSTP as part of the multi-agency effort to develop an AI Action Plan ("Plan") as ordered by Executive Order issued on January 23, 2025. We appreciate the opportunity to engage in ongoing dialogue and wish to highlight that we are available as a resource through the entire development of the Plan. The comments submitted herein seek to inform the government's understanding of appropriate third-party assurance, and to provide more specified feedback on policy related to assurance over AI systems as development of the Plan progresses.
## **Independent Third-Party Assurance**
⟦Independent third-party assurance is a robust process through which an independen[t](#page-0-0)&lt;sup&gt;1&lt;/sup&gt; practitioner performs procedures and obtains evidence in order to issue a report that includes an opinion or conclusion about the subject matter, or about an entity's statement or assertion regarding that subject matter, which enhances the degree of confidence for decision-makers relying on the subject matter of the engagement.⟧ This process has been applied through the audits of financial statements of private and public companies for nearly a century and serves as a cornerstone of trust in the capital markets. Reputable assurance services are performed based on the use of professional standards (e.g. the AICPA attestation standard[s](#page-0-1)&lt;sup&gt;2&lt;/sup&gt; ) which are developed by accredited bodies and subject the standards to due process procedures that are transparent, open to the public, and allow for public feedback through thoughtful, reasoned, and timely communications.
The NITRD/NCO, NSF request for informa…</t>
  </si>
  <si>
    <t xml:space="preserve">ac6cabb4-1e40-5018-a78d-165f7dab637a</t>
  </si>
  <si>
    <t xml:space="preserve">AICPA-AI-RFI-2025</t>
  </si>
  <si>
    <t xml:space="preserve">NSF/2025-02305/comments/comment_attachments/AICPA-AI-RFI-2025_1.md</t>
  </si>
  <si>
    <t xml:space="preserve">President Biden's Executive Order on "Transforming Federal Customer Experience and Service Delivery To Rebuild Trust in Government" directed agencies to "ensur[e] the accessibility of services for customers with disabilities" 123 and Section 508 of the Rehabilitation Act requires that agencies "ensure" that any "electronic and information technology allows . . . individuals with disabilities who are members of the public . . . to have access to and use of information and data" from federal agencies that is comparable to individuals without disabilities.124</t>
  </si>
  <si>
    <t xml:space="preserve">Federal law already requires agencies to provide accessible experiences to people with disabilities, and the final memorandum should expressly incorporate those requirements.</t>
  </si>
  <si>
    <t xml:space="preserve">President Biden's Executive Order on "Transforming Federal Customer Experience and Service Delivery To Rebuild Trust in Government" directed agencies to "ensur[e] the accessibility of services for customers with disabilities" &lt;sup&gt;123&lt;/sup&gt; and Section 508 of the Rehabilitation Act requires that agencies "ensure" that any "electronic and information technology allows . . . individuals with disabilities who are members of the public . . . to have access to and use of information and data" from federal agencies that is comparable to individuals without disabilities.&lt;sup&gt;124&lt;/sup&gt;</t>
  </si>
  <si>
    <t xml:space="preserve">The *AI Bill of Rights*  recommends that AI systems "should be designed, developed, and deployed by organizations in ways that ensure accessibility to people with disabilities" and that notices and explanations be accessible.&lt;sup&gt;125&lt;/sup&gt;</t>
  </si>
  <si>
    <t xml:space="preserve">… 16, 2021).
![](_page_22_Picture_0.jpeg)
conducted and concluded in a timely manner. . . . In time-critical systems [such as in healthcare or employment], this mechanism should be immediately available or, where possible, available before the harm occurs."
Fourth, the final memorandum should more robustly address accessibility, not only in notice provided to users but also in agencies' assessment and evaluation of AI. Federal law already requires agencies to provide accessible experiences to people with disabilities, and the final memorandum should expressly incorporate those requirements. ⟦President Biden's Executive Order on "Transforming Federal Customer Experience and Service Delivery To Rebuild Trust in Government" directed agencies to "ensur[e] the accessibility of services for customers with disabilities" &lt;sup&gt;123&lt;/sup&gt; and Section 508 of the Rehabilitation Act requires that agencies "ensure" that any "electronic and information technology allows . . . individuals with disabilities who are members of the public . . . to have access to and use of information and data" from federal agencies that is comparable to individuals without disabilities.&lt;sup&gt;124&lt;/sup&gt;⟧ The *AI Bill of Rights*  recommends that AI systems "should be designed, developed, and deployed by organizations in ways that ensure accessibility to people with disabilities" and that notices and explanations be accessible.&lt;sup&gt;125&lt;/sup&gt; Unfortunately, in the two decades since Section 508 was passed, not all agencies have met its requirements,&lt;sup&gt;126&lt;/sup&gt; and OMB should ensure that accessibility is a requirement in agencies' use of AI, assessing its harms, establishing appropriate risk management practices, and providing notice and explanation of AI's use.
Finally, OMB should consider ex…</t>
  </si>
  <si>
    <t xml:space="preserve">0ccf3580-b087-56fa-92a1-d22ebc7e1cd7</t>
  </si>
  <si>
    <t xml:space="preserve">On the one hand, continued algorithmic progress means that increasingly powerful models will be trainable with a given amount of compute, suggestive of a need to lower thresholds over time. 73 On the other hand, as regulators gather evidence about the societal impacts of increasingly powerful models, as relevant mitigations are able to be implemented, and as increasingly affordable compute ultimately necessitates pragmatism, it may be justifiable to raise thresholds over time.74 In general, and especially if using more sophisticated metrics, it will be crucial that thresholds are regularly revisited by an appropriately resourced and technically competent regulator.</t>
  </si>
  <si>
    <t xml:space="preserve">Appropriate thresholds will change over time.</t>
  </si>
  <si>
    <t xml:space="preserve">On the one hand, continued algorithmic progress means that increasingly powerful models will be trainable with a given amount of compute, suggestive of a need to lower thresholds over time. On the other hand, as regulators gather evidence about the societal impacts of increasingly powerful models, as relevant mitigations are able to be implemented, and as increasingly affordable compute ultimately necessitates pragmatism, it may be justifiable to raise thresholds over time.&lt;sup&gt;74&lt;/sup&gt; In general, and especially if using more sophisticated metrics, it will be crucial that thresholds are regularly revisited by an appropriately resourced and technically competent regulator.</t>
  </si>
  <si>
    <t xml:space="preserve">document_edge</t>
  </si>
  <si>
    <t xml:space="preserve">…ultimately of interest, training compute can be a useful filter for which models warrant further evaluation, easing the regulatory burden for the overwhelming majority of AI developers. At the moment, only a small number of AI developers are even capable of training models above the 10&lt;sup&gt;26&lt;/sup&gt; operations threshold.
Models above the compute threshold will need further evaluation with additional metrics, such as directly measuring performance and capabilities, or considering other correlates such as training data or architecture.&lt;sup&gt;72&lt;/sup&gt;
Appropriate thresholds will change over time. ⟦On the one hand, continued algorithmic progress means that increasingly powerful models will be trainable with a given amount of compute, suggestive of a need to lower thresholds over time. &lt;sup&gt;73&lt;/sup&gt; On the other hand, as regulators gather evidence about the societal impacts of increasingly powerful models, as relevant mitigations are able to be implemented, and as increasingly affordable compute ultimately necessitates pragmatism, it may be justifiable to raise thresholds over time.&lt;sup&gt;74&lt;/sup&gt; In general, and especially if using more sophisticated metrics, it will be crucial that thresholds are regularly revisited by an appropriately resourced and technically competent regulator.⟧
&lt;sup&gt;74&lt;/sup&gt; Konstantin Pilz, Lennart Heim, and Nicholas Brown, "Increased Compute Efficiency and the Diffusion of AI Capabilities" (arXiv, February 13, 2024), &lt;https://doi.org/10.48550/arXiv.2311.15377&gt;; Scharre, "Future-Proofing Frontier AI Regulation," 34.
![](_page_18_Picture_10.jpeg)
&lt;sup&gt;71&lt;/sup&gt; The empirical observation that models that leverage the most computation are the most capable is sometimes known as "The Bitter Lesson", a term popularized by the AI research scientist Rich Sutton: "The Bitter Lesson," Incomplete Ideas, March 13, 2019, [http://www.incompleteideas.net/IncIde…</t>
  </si>
  <si>
    <t xml:space="preserve">886e9c81-a06e-59fa-bcb4-e36eeb14389c</t>
  </si>
  <si>
    <t xml:space="preserve">NTIA-2023-0009-0258</t>
  </si>
  <si>
    <t xml:space="preserve">NTIA/2024-03763/comments/comment_attachments/NTIA-2023-0009-0258_1.md</t>
  </si>
  <si>
    <t xml:space="preserve">This is because even if developers release subsequent models with mitigated levels of bias, it is not guaranteed that users will stop using the original biased model and there is no way for developers to identify and encourage users to use updated models. Overall, these risks tend to increase as levels of access to a model increase. Only the risk of reinforcing bias fluctuates with increasing access to a model. This is because even if developers release subsequent models with mitigated levels of bias, it is not guaranteed that users will stop using the original biased model and there is no way for developers to identify and encourage users to use updated models. For instance, when weights are released with model architecture, almost anyone will be able to use a model that has been pre-trained to perform tasks even without access to inference code. Inference code can be [easily written](https://arxiv.org/pdf/2311.09227.pdf) by LLMs and does not have to be identical to the original inference code, making it easy for actors to modify and reproduce the model.</t>
  </si>
  <si>
    <t xml:space="preserve">Only the risk of reinforcing bias fluctuates with increasing access to a model.</t>
  </si>
  <si>
    <t xml:space="preserve">This is because even if developers release subsequent models with mitigated levels of bias, it is not guaranteed that users will stop using the original biased model and there is no way for developers to identify and encourage users to use updated models. As the level of access to a system increases, usually, so too does the amount of system components released, and the subsequent ease of modifying and customizing a model. For instance, when weights are released with model architecture, almost anyone will be able to use a model that has been pre-trained to perform tasks even without access to inference code. Inference code can be [easily written](https://arxiv.org/pdf/2311.09227.pdf) by LLMs and does not have to be identical to the original inference code, making it easy for actors to modify and reproduce the model.</t>
  </si>
  <si>
    <t xml:space="preserve">Generally, it is the process of training a model that requires the largest amount of compute and data that is likely only currently possessed by big tech companies and states; hence, the capabilities required by downstream actors to perform model adaptations are lesser if pre-trained models or model components (such as weights) are made widely available.</t>
  </si>
  <si>
    <t xml:space="preserve">…singly autonomous and act without human verification (for example [UC Berkeley's Gorilla LLM81,](https://securityandtechnology.org/wp-content/uploads/2023/12/How-Does-Access-Impact-Risk-Assessing-AI-Foundation-Model-Risk-Along-A-Gradient-of-Access-Dec-2023.pdf) a fine-tuned LLaMA-based model which can call other APIs without human oversight); and **reinforcing bias** where models trained on biased data continue to reinforce said biases. Overall, these risks tend to increase as levels of access to a model increase. Only the risk of reinforcing bias fluctuates with increasing access to a model. ⟦This is because even if developers release subsequent models with mitigated levels of bias, it is not guaranteed that users will stop using the original biased model and there is no way for developers to identify and encourage users to use updated models.
As the level of access to a system increases, usually, so too does the amount of system components released, and the subsequent ease of modifying and customizing a model. For
![](_page_6_Picture_8.jpeg)
instance, when weights are released with model architecture, almost anyone will be able to use a model that has been pre-trained to perform tasks even without access to inference code. Inference code can be [easily written](https://arxiv.org/pdf/2311.09227.pdf) by LLMs and does not have to be identical to the original inference code, making it easy for actors to modify and reproduce the model.⟧ Generally, it is the process of training a model that requires the largest amount of compute and data that is likely only currently possessed by big tech companies and states; hence, the capabilities required by downstream actors to perform model adaptations are lesser if pre-trained models or model components (such as weights) are made widely available. However, even if weights are not released, it is [still possible](https://arxiv.org/pdf/2311.09227.pdf) that external deployers may discover a set of weights different from those used by the original developers and can use these weights to ru…</t>
  </si>
  <si>
    <t xml:space="preserve">afe87b33-24af-5b0c-bc77-fff909d15f6b</t>
  </si>
  <si>
    <t xml:space="preserve">NTIA-2023-0009-0128</t>
  </si>
  <si>
    <t xml:space="preserve">NTIA/2024-03763/comments/comment_attachments/NTIA-2023-0009-0128_1.md</t>
  </si>
  <si>
    <t xml:space="preserve">footnote</t>
  </si>
  <si>
    <t xml:space="preserve">1 See also See Bot M8 LLC v. Sony Corp. of Am., 4 F.4th 1342 (Fed. Cir. 2021) (claims to increasing the difficulty of a video game based on previous aggregate results found ineligible because "the claim leaves open how to accomplish this"-it "merely recites result-oriented uses of conventional computer devices"); Free Stream Media Corp. v. Alphonso Inc., 996 F.3d 1355, 1363-64 (Fed. Cir. 2021) ("[Although the claimed invention purports to] allows devices on the same network to communicate where such devices were previously unable to do so," "the asserted claims do not at all describe how that result is achieved."); Univ. of Fla. Research Found., Inc. v. General Electric Co., 916 F.3d 1363, 1368 (Fed. Cir. 2019) (claims to a system for converting medical-treatment data into a machine-independent format); id. ("[Neither the] patent, nor its claims, explains how the [claimed] drivers do the conversion that [the patent owner] points to. That is, the drivers are described in purely functional terms."); Intellectual Ventures I LLC v. Capital One Fin. Corp., 850 F.3d 1332, 1342 (Fed. Cir. 2017) (claims to a system for automatic editing between incompatible custom XML formats); Intellectual Ventures I LLC v. Erie Indemnity Co., 850 F.3d 1315, 1331 (Fed. Cir. 2017) (claims to a system for remotely accessing incompatible data files); id. at 1332 ("Nowhere do the claims recite how the invention overcomes these incompatibility issues."); RecogniCorp, LLC v. Nintendo, 855 F.3d 1322, 1326 (Fed. Cir. 2017) (claims to a system for building a composite facial image using constituent parts); id. (the patent-eligibility inquiry "often is whether the claims are directed to 'a specific means or method' for improving technology or whether they are simply directed to an abstract end-result.").</t>
  </si>
  <si>
    <t xml:space="preserve">*See also See Bot M8 LLC v. Sony Corp. of Am.* *, 4 F.4th 1342 (Fed. Cir. 2021) (claims to increasing the difficulty of a video game based on previous aggregate results found ineligible because "the claim leaves open *how* to accomplish this"—it "merely recites result-oriented uses of conventional computer devices"); *Free Stream Media Corp. v. Alphonso Inc*., 996 F.3d 1355, 1363-64 (Fed. Cir. 2021) ("[Although the claimed invention purports to] allows devices on the same network to communicate where such devices were previously unable to do so," "the asserted claims do not at all describe how that result is achieved."); *Univ. of Fla. Research Found. , Inc. v. General Electric Co.*, 916 F.3d 1363, 1368 (Fed. Cir. 2019) (claims to a system for converting medical-treatment data into a machine-independent format); *id.* ("[Neither the] patent, nor its claims, explains how the [claimed] drivers do the conversion that [the patent owner] points to. That is, the drivers are described in purely functional terms."); *Intellectual Ventures I LLC v. Capital One Fin. Corp.*, 850 F.3d 1332, 1342 (Fed. Cir. 2017) (claims to a system for automatic editing between incompatible custom XML formats); *Intellectual Ventures I LLC v. Erie Indemnity Co.*, 850 F.3d 1315, 1331 (Fed. Cir. 2017) (claims to a system for remotely accessing incompatible data files); *id.* at 1332 ("Nowhere do the claims recite *how* the invention overcomes these incompatibility issues."); *RecogniCorp, LLC v. Nintendo*, 855 F.3d 1322, 1326 (Fed. Cir. 2017) (claims to a system for building a composite facial image using constituent parts); *id.* (the patent-eligibility inquiry "often is whether the claims are directed to 'a specific means or method' for improving technology or whether they are simply directed to an abstract end-result.").</t>
  </si>
  <si>
    <t xml:space="preserve">footnote_edge</t>
  </si>
  <si>
    <t xml:space="preserve">…onal Claiming in Software Patents," N. C.J. of L. &amp; Tech. 227, 259 (2018) ("One study found the Federal Circuit invalidated patents in 90% of patent eligibility cases involving information technology. For PTO reviews of covered business method patents, which often involve software implementation of business methods, over 95% of all § 101 decisions resulted in patent invalidity."). 1
Patents claiming artificial intelligence or neural network elements pose an exceedingly high risk of returning to the long-discredited days when software patents preempted vast swaths of technology,
&lt;sup&gt;1&lt;/sup&gt; ⟦*See also See Bot M8 LLC v. Sony Corp. of Am.*, 4 F.4th 1342 (Fed. Cir. 2021) (claims to increasing the difficulty of a video game based on previous aggregate results found ineligible because "the claim leaves open *how* to accomplish this"—it "merely recites result-oriented uses of conventional computer devices"); *Free Stream Media Corp. v. Alphonso Inc*., 996 F.3d 1355, 1363-64 (Fed. Cir. 2021) ("[Although the claimed invention purports to] allows devices on the same network to communicate where such devices were previously unable to do so," "the asserted claims do not at all describe how that result is achieved."); *Univ. of Fla. Research Found., Inc. v. General Electric Co.*, 916 F.3d 1363, 1368 (Fed. Cir. 2019) (claims to a system for converting medical-treatment data into a machine-independent format); *id.* ("[Neither the] patent, nor its claims, explains how the [claimed] drivers do the conversion that [the patent owner] points to. That is, the drivers are described in purely functional terms."); *Intellectual Ventures I LLC v. Capital One Fin. Corp.*, 850 F.3d 1332, 1342 (Fed. Cir. 2017) (claims to a system for automatic editing between incompatible custom XML formats); *Intellectual Ventures I LLC v. Erie Indemnity Co.*, 850 F.3d 1315, 1331 (Fed. Cir. 2017) (claims to a system for remotely accessing incompatible data files); *id.* at 1332 ("Nowhere do the claims recite *how* the invention overcomes these incompatibility issues."); *RecogniCorp, LLC v. Nintendo*, 855 F.3d 1322, 1326 (Fed. Cir. 2017) (claims to a system for building a composite facial image using constituent parts); *id.* (the patent-eligibility inquiry "often is whether the claims are directed to 'a specific means or method' for improving technology or whether they are simply directed to an abstract end-result.").⟧
impeding future innovation by taxing future ways of achieving the same results or performing the same functions no matter how different, better, cheaper, or more reliable.&lt;sup&gt;2&lt;/sup&gt; Indeed, given the nature of AI, in which the steps that the software is executing are not always fully known, returning to a world where patents recite naked functions at the exact point of novelty threatens to impede future innovation even more so than in the pre-*Alice* world. Respectfully, it is therefore incumbent on the USPTO to ensure that claims involving AI systems are limited to the particular ways of …</t>
  </si>
  <si>
    <t xml:space="preserve">534a2dbd-646c-58a5-9d44-b3ff66dd7abd</t>
  </si>
  <si>
    <t xml:space="preserve">PTO-P-2024-0026-0004</t>
  </si>
  <si>
    <t xml:space="preserve">PTO/2024-15377/comments/comment_attachments/PTO-P-2024-0026-0004_1.md</t>
  </si>
  <si>
    <t xml:space="preserve">fuzzy_95plus</t>
  </si>
  <si>
    <t xml:space="preserve">fuzzy</t>
  </si>
  <si>
    <t xml:space="preserve">7 The Verge, July 12, 2020, [https://www.theverge.com/21289164/facebook-deepfake-detection-challenge-unsolved-problem-ai.](https://www.theverge.com/21289164/facebook-deepfake-detection-challenge-unsolved-problem-ai)</t>
  </si>
  <si>
    <t xml:space="preserve">*The Verge*, July 12, 2020, [https://www.theverge.com/21289164/facebook-deepfake-detection-challenge-unsolved-problem-ai.](https://www.theverge.com/21289164/facebook-deepfake-detection-challenge-unsolved-problem-ai)</t>
  </si>
  <si>
    <t xml:space="preserve">…p&gt;5&lt;/sup&gt; The Content Authenticity Initiative is a group of creators, technologists, journalists, and activists leading the global effort to address digital misinformation and content authenticity. They are focused on promoting and providing an open, crossindustry approach to media transparency. &lt;https://contentauthenticity.org/&gt;
&lt;sup&gt;6&lt;/sup&gt; Provenance refers to the basic trustworthy facts about the origins of a piece of digital content (photo, video, audio file). That is, how a piece of digital content has changed over time, how it has been edited, combined, manipulated, etc.
&lt;sup&gt;7&lt;/sup&gt; ⟦*The Verge*, July 12, 2020, [https://www.theverge.com/21289164/facebook-deepfake-detection-challenge-unsolved-problem-ai.](https://www.theverge.com/21289164/facebook-deepfake-detection-challenge-unsolved-problem-ai)⟧
&lt;https://leica-camera.com/en-US/photography/content-credentials&gt;
 Tsuyoshi Tamehiro, Keiichi Furkukawa and Yoichiro Hiroi. *Nikon, Sony and Canon fight AI fakes with new camera tech*, NikkeiAsia, Dec. 30, 2023[. https://asia.nikkei.com/Business/Technology/Nikon-Sony-and-Canon-fight-AI-fakes-with-new](https://asia.nikkei.com/Business/Technology/Nikon-Sony-and-Canon-fight-AI-fakes-with-new-camera-tech)[camera-tech](https://asia.nikkei.com/Business/Technology/Nikon-Sony-and-Canon-fight-AI-fakes-with-new-camera-tech)
an open technical standard developed by the C2PA, which can be found [online.…</t>
  </si>
  <si>
    <t xml:space="preserve">e04fe8f4-7f30-5a26-8e0c-8526ee092029</t>
  </si>
  <si>
    <t xml:space="preserve">NIST-2023-0009-0147</t>
  </si>
  <si>
    <t xml:space="preserve">NIST/2023-28232/comments/comment_attachments/NIST-2023-0009-0147_1.md</t>
  </si>
  <si>
    <t xml:space="preserve">These include Facets, the What-If Tool, Model and Data Cards and training with algorithmic fairness constraints.</t>
  </si>
  <si>
    <t xml:space="preserve">A 2019 report on "Perspectives on Issues in AI Governance" released by Google details other algorithmic fairness techniques designed to "surface bias, analyze data sets, and test and understand complex models in order to help make AI systems more fair".&lt;sup&gt;18&lt;/sup&gt;</t>
  </si>
  <si>
    <t xml:space="preserve">These include Facets,&lt;sup&gt;19&lt;/sup&gt; the What-If Tool,&lt;sup&gt;20&lt;/sup&gt; Model and Data Cards&lt;sup&gt;21&lt;/sup&gt; and training with algorithmic fairness constraints.</t>
  </si>
  <si>
    <t xml:space="preserve">Accenture has developed its own tool to "[assess] fairness and actions needed to mitigate bias", which it uses both internally with respect to its own AI projects, as well as externally, on client projects involving the deployment of AI applications to help clients address the fairness standard.&lt;sup&gt;22&lt;/sup&gt;</t>
  </si>
  <si>
    <t xml:space="preserve">…loping techniques to specifically address the issue of discrimination in AI applications. For example, some organizations rely on counterfactual fairness testing. This technique checks for fairness in outcomes by determining whether the same result is achieved when a specific variable, such as race or gender, changes.&lt;sup&gt;17&lt;/sup&gt; A 2019 report on "Perspectives on Issues in AI Governance" released by Google details other algorithmic fairness techniques designed to "surface bias, analyze data sets, and test and understand complex models in order to help make AI systems more fair".&lt;sup&gt;18&lt;/sup&gt; ⟦These include Facets,&lt;sup&gt;19&lt;/sup&gt; the What-If Tool,&lt;sup&gt;20&lt;/sup&gt; Model and Data Cards&lt;sup&gt;21&lt;/sup&gt; and training with algorithmic fairness constraints.⟧ Accenture has developed its own tool to "[assess] fairness and actions needed to mitigate bias", which it uses both internally with respect to its own AI projects, as well as externally, on client projects involving the deployment of AI applications to help clients address the fairness standard.&lt;sup&gt;22&lt;/sup&gt; IBM has also created several tools to address issues of ethics and fairness in AI, including AI Fairness 360, a comprehensive open-source toolkit of metrics to check for unwanted bias in datasets and
&lt;sup&gt;16&lt;/sup&gt; See Anya E.R. Prince &amp; Daniel Schwarcz, *Proxy Discrimination in the Age o…</t>
  </si>
  <si>
    <t xml:space="preserve">185f4069-a6a8-53ba-b867-c3e1a15de983</t>
  </si>
  <si>
    <t xml:space="preserve">NTIA-2023-0005-1283</t>
  </si>
  <si>
    <t xml:space="preserve">NTIA/2023-07776/comments/comment_attachments/NTIA-2023-0005-1283_1.md</t>
  </si>
  <si>
    <t xml:space="preserve">Permitting reform is the most important step-in some ways the most meaningful AI-related policy decisions the federal government can make in the short-term .</t>
  </si>
  <si>
    <t xml:space="preserve">These objective standards led to massive reductions in measurable pollution over the last several decades.</t>
  </si>
  <si>
    <t xml:space="preserve">Permitting reform is the most important step—in some ways the most meaningful AI-related policy decisions the federal government can make in the short-term&lt;sup&gt;6&lt;/sup&gt; .</t>
  </si>
  <si>
    <t xml:space="preserve">But it is far from the only step.</t>
  </si>
  <si>
    <t xml:space="preserve">… addition to data centers and the energy generation facilities needed to power them, AI will require cutting-edge semiconductor manufacturing capacity. Just like the data centers, the ideal outcome would be for many of those manufacturing facilities to be on American soil.
Accomplishing this will require large-scale reform to environmental regulation. America's most successful environmental regulations rely on mandating objective standards for crucial things like air and water quality. These objective standards led to massive reductions in measurable pollution over the last several decades.
⟦Permitting reform is the most important step—in some ways the most meaningful AI-related policy decisions the federal government can make in the short-term&lt;sup&gt;6&lt;/sup&gt; .⟧ But it is far from the only step. In particular, ensuring that America retains a fundamental advantage in semiconductor manufacturing is essential.
In the longer term, it will also be crucial for American researchers to remain at the forefront of leading-edge semiconductor development. While it is true that TSMC has taken the lead in this regard, it remains the case that most of the fundamental advancements to semiconductor manufacturing were pioneered by Intel and other American firms. In recent years, it has become both more expensive and slower to move the frontier of semiconductors. New …</t>
  </si>
  <si>
    <t xml:space="preserve">4943176d-541b-57a9-88eb-188cfb79a0cf</t>
  </si>
  <si>
    <t xml:space="preserve">Fathom-AI-RFI-2025</t>
  </si>
  <si>
    <t xml:space="preserve">NSF/2025-02305/comments/comment_attachments/Fathom-AI-RFI-2025_1.md</t>
  </si>
  <si>
    <t xml:space="preserve">Public notice and comment opportunities through administrative agencies, like this one, are not required before the procurement of technologies, even when policy decisions are embedded in the design of such technology. 4</t>
  </si>
  <si>
    <t xml:space="preserve">For example, government contractors sued for violating the United States Constitution or other laws through the services they provide the government may invoke the "government contractor defense", limiting the public's access to the courts for remedies of constitutional magnitude.</t>
  </si>
  <si>
    <t xml:space="preserve">Public notice and comment opportunities through administrative agencies, like this one, are not required before the procurement of technologies, even when policy decisions are embedded in the design of such technology.</t>
  </si>
  <si>
    <t xml:space="preserve">Government agencies are also already exempt from disclosing information to the public and investigative media via Freedom of Information Act exemptions, such as Exemption 4, which exempts "trade secrets and commercial or financial information obtained from a person and privileged or confidential" from disclosure. 5</t>
  </si>
  <si>
    <t xml:space="preserve">…he public and government's ability to hold contractors accountable for harm caused by safety and rights-impacting "AI" systems is already diluted by laws that protect corporations from transparency, oversight, and accountability mechanisms necessary for the public to understand and influence governance. For example, government contractors sued for violating the United States Constitution or other laws through the services they provide the government may invoke the "government contractor defense", limiting the public's access to the courts for remedies of constitutional magnitude. &lt;sup&gt;3&lt;/sup&gt; ⟦Public notice and comment opportunities through administrative agencies, like this one, are not required before the procurement of technologies, even when policy decisions are embedded in the design of such technology.⟧ &lt;sup&gt;4&lt;/sup&gt; Government agencies are also already exempt from disclosing information to the public and investigative media via Freedom of Information Act exemptions, such as Exemption 4, which exempts "trade secrets and commercial or financial information obtained from a person and privileged or confidential" from disclosure. 5
As "AI" produced by the private sector becomes increasingly embedded and deployed by government institutions, we must take forceful action to ensure that the public interest values of transparency, inclusivity, reasonableness, and political equity &lt;sup&gt;6&lt;/sup&gt; are not…</t>
  </si>
  <si>
    <t xml:space="preserve">64785bf4-a504-5a9c-8386-412c03e05741</t>
  </si>
  <si>
    <t xml:space="preserve">OMB-2023-0020-0077</t>
  </si>
  <si>
    <t xml:space="preserve">OMB/2023-24269/comments/comment_attachments/OMB-2023-0020-0077_1.md</t>
  </si>
  <si>
    <t xml:space="preserve">Oracle provides secure cloud services to the U.S. government, receiving its full FedRAMP authorization in 2019, 5 and has been a longtime partner with the National Institute of Standards and Technology ("NIST") in developing and applying security guidance and best practices for the information and communications technology and services ("ICTS") ecosystem.6</t>
  </si>
  <si>
    <t xml:space="preserve">3 Oracle also plays a leadership role across the information technology ("IT") sector as President of the Information Technology – Information Sharing Analysis Center ("IT-ISAC"), which continuously monitors and responds to national incidents and events that may impact the resiliency of national IT infrastructure.</t>
  </si>
  <si>
    <t xml:space="preserve">4 Oracle provides secure cloud services to the U.S. government, receiving its full FedRAMP authorization in 2019, &lt;sup&gt;5&lt;/sup&gt; and has been a longtime partner with the National Institute of Standards and Technology ("NIST") in developing and applying security guidance and best practices for the information and communications technology and services ("ICTS") ecosystem.6</t>
  </si>
  <si>
    <t xml:space="preserve">Oracle knows that data security and privacy are foundational to building and maintaining trust in our services, which is why Oracle prioritizes providing best-in-class security to its customers leveraging security-by-design principles. 7</t>
  </si>
  <si>
    <t xml:space="preserve">…ucture that supports those services. For example, Oracle collaborates with the Cybersecurity and Infrastructure Security Agency ("CISA") through the Joint Cyber Defense Collaborative as part of our commitment to protecting the security and resilience of U.S. critical infrastructure. 3 Oracle also plays a leadership role across the information technology ("IT") sector as President of the Information Technology – Information Sharing Analysis Center ("IT-ISAC"), which continuously monitors and responds to national incidents and events that may impact the resiliency of national IT infrastructure. ⟦4 Oracle provides secure cloud services to the U.S. government, receiving its full FedRAMP authorization in 2019, &lt;sup&gt;5&lt;/sup&gt; and has been a longtime partner with the National Institute of Standards and Technology ("NIST") in developing and applying security guidance and best practices for the information and communications technology and services ("ICTS") ecosystem.6⟧ Oracle knows that data security and privacy are foundational to building and maintaining trust in our services,
&lt;sup&gt;3&lt;/sup&gt; *See* CISA JCDC *at* [https://www.cisa.gov/topics/partnerships-and-collaboration/joint-cyber-defense](https://www.cisa.gov/topics/partnerships-and-collaboration/joint-cyber-defense-collaborative)[collaborative.](https://www.cisa.gov/topics/partnerships-and-collaboration/joint-cyber-defense-collaborative)
&lt;sup&gt;4&lt;/sup&gt; *See* IT-ISAC members at https://www.it-isac.org/members.
&lt;sup&gt;5&lt;/sup&gt; [Oracle Achieves FedRAMP Authorization for Oracle Cloud Infrastructure,](https://…</t>
  </si>
  <si>
    <t xml:space="preserve">3e4860c2-e861-5fa8-9027-b08c2aa738fa</t>
  </si>
  <si>
    <t xml:space="preserve">DOC-2021-0007-0508</t>
  </si>
  <si>
    <t xml:space="preserve">DOC/2024-01580/comments/comment_attachments/DOC-2021-0007-0508_1.md</t>
  </si>
  <si>
    <t xml:space="preserve">When considering rules to mitigate bias, regulators should prioritize A.I. explainability, meaning the ability for humans to understand an artificial intelligence system's behavior. 11</t>
  </si>
  <si>
    <t xml:space="preserve">In other words, human bias is unavoidable.</t>
  </si>
  <si>
    <t xml:space="preserve">When considering rules to mitigate bias, regulators should prioritize A.I. explainability, meaning the ability for humans to understand an artificial intelligence system's behavior.</t>
  </si>
  <si>
    <t xml:space="preserve">This measure is particularly important when it comes to maintaining oversight over deep neural networks, as their decision-making processes are shaped by prior experiences or training data.&lt;sup&gt;12&lt;/sup&gt;While deep neural networks may successfully accomplish their assigned tasks, the "black box" nature of their decisionmaking makes it difficult for users or regulators to grasp how outcomes are determined.&lt;sup&gt;13&lt;/sup&gt;</t>
  </si>
  <si>
    <t xml:space="preserve">…ecision-making. Even if all statistical, computational, and systemic biases were able to be removed from A.I. systems, pervasive and often undetectable human biases would be difficult to constrain. Cognitive and perceptual biases, which are inherent to human thinking, span different areas and are not exclusive to our interactions with A.I. They shape our understanding and influence our perceptions.&lt;sup&gt;10&lt;/sup&gt; Subsequently, human biases will also be present within any regulatory framework used to eradicate bias or to protect against discrimination. In other words, human bias is unavoidable.
⟦When considering rules to mitigate bias, regulators should prioritize A.I. explainability, meaning the ability for humans to understand an artificial intelligence system's behavior.⟧ &lt;sup&gt;11&lt;/sup&gt; This measure is particularly important when it comes to maintaining oversight over deep neural networks, as their decision-making processes are shaped by prior experiences or training data.&lt;sup&gt;12&lt;/sup&gt;While deep neural networks may successfully accomplish their assigned tasks, the "black box" nature of their decisionmaking makes it difficult for users or regulators to grasp how outcomes are determined.&lt;sup&gt;13&lt;/sup&gt; To facilitate a transparent environment, regulators should release these models and require organizations developing these models to make their code open-source wher…</t>
  </si>
  <si>
    <t xml:space="preserve">fe783f3b-e36d-565c-bb89-249caa2c2435</t>
  </si>
  <si>
    <t xml:space="preserve">NTIA-2023-0005-1316</t>
  </si>
  <si>
    <t xml:space="preserve">NTIA/2023-07776/comments/comment_attachments/NTIA-2023-0005-1316_1.md</t>
  </si>
  <si>
    <t xml:space="preserve">Private sector investment continues to grow: in 2021, those companies spent over $124 billion on capital expenditures, representing an increase of 28% over the previous year9 , and further widening the divide between resources available in industry and academia.</t>
  </si>
  <si>
    <t xml:space="preserve">In our previous comment we contextualized this cost with the \$97 billion spent on capital expenditures8 by the leading U.S. digital infrastructure providers (Amazon, Google, Microsoft) in 2020.</t>
  </si>
  <si>
    <t xml:space="preserve">Private sector investment continues to grow: in 2021, those companies spent over \$124 billion on capital expenditures, representing an increase of 28% over the previous year9 , and further widening the divide between resources available in industry and academia.</t>
  </si>
  <si>
    <t xml:space="preserve">To align resource needs with an eventual appropriations recommendation, the Task Force may consider polling academic research departments across the United States to better understand current resource constraints and future research ambitions.</t>
  </si>
  <si>
    <t xml:space="preserve">…rch-portal/resource-allocation-competitions/ 2022-resource-allocations-competition-results
**Our vision of a truly competitive NAIRR for the United States would be on the order of a 100,000 GPU cluster, with an estimated cost of roughly \$4 billion for three years.** This would require a significant financial investment and would represent an exemplary resource built over the course of several years. In our previous comment we contextualized this cost with the \$97 billion spent on capital expenditures8 by the leading U.S. digital infrastructure providers (Amazon, Google, Microsoft) in 2020. ⟦Private sector investment continues to grow: in 2021, those companies spent over \$124 billion on capital expenditures, representing an increase of 28% over the previous year9 , and further widening the divide between resources available in industry and academia.⟧
To align resource needs with an eventual appropriations recommendation, the Task Force may consider polling academic research departments across the United States to better understand current resource constraints and future research ambitions. Alternatively, the Task Force could partner with a think tank or non-profit organization focused on the United States' R&amp;D ecosystem to carry out the polling exercise. In either case, we recommend the Task Force include a concrete technical proposal, informed by the needs of researchers, in the Final Report. Doing so will not only reveal the AI researc…</t>
  </si>
  <si>
    <t xml:space="preserve">120deb15-0a16-561e-bb6e-cb90ac49b73c</t>
  </si>
  <si>
    <t xml:space="preserve">anthropic</t>
  </si>
  <si>
    <t xml:space="preserve">OSTP/2022-11223/comments/comment_attachments/anthropic_1.md</t>
  </si>
  <si>
    <t xml:space="preserve">The most valuable part of Amazon's online retail platform is not sales, but rather, extraction of various fees from all transactions, sellers, and consumers on the platform. 23</t>
  </si>
  <si>
    <t xml:space="preserve">In a recent earnings call, Amazon's CEO Andy Jassy assured investors that Amazon would profit at every step of the AI product development cycle, because it controls the infrastructure and gateway to business customers.</t>
  </si>
  <si>
    <t xml:space="preserve">The most valuable part of Amazon's online retail platform is not sales, but rather, extraction of various fees from all transactions, sellers, and consumers on the platform.</t>
  </si>
  <si>
    <t xml:space="preserve">Amazon, through its early and well-funded foray into artificial intelligence, will no doubt seek rents from all the services that use its cloud infrastructure, recreating the "monopoly tollbooth" it holds over online retail space.</t>
  </si>
  <si>
    <t xml:space="preserve">… largest AI infrastructure player in the market, leveraging its massive data center infrastructure and cloud computing dominance. Notably, Amazon has won lucrative state and federal contracts, as well as public subsidies, to build this private infrastructure, which currently generates \$80 billion in revenue and \$23 billion in profit.
- **● Toll booth operator.** In a recent earnings call, Amazon's CEO Andy Jassy assured investors that Amazon would profit at every step of the AI product development cycle, because it controls the infrastructure and gateway to business customers. &lt;sup&gt;22&lt;/sup&gt; ⟦The most valuable part of Amazon's online retail platform is not sales, but rather, extraction of various fees from all transactions, sellers, and consumers on the platform.⟧ &lt;sup&gt;23&lt;/sup&gt; Amazon, through its early and well-funded foray into artificial intelligence, will no doubt seek rents from all the services that use its cloud infrastructure, recreating the "monopoly tollbooth" it holds over online retail space. In cloud computing, Amazon already uses egress fees, interoperability barriers, and bundled services in ways that warrant investigation. 24
- **Mergers and acquisitions**. Months ago, Amazon announced that it has "invested" in Anthropic, a leading developer of large language models (LLM). Yet a closer read of the details of the deal lays out Amazon's m…</t>
  </si>
  <si>
    <t xml:space="preserve">2098e464-111d-5bd7-85a4-29ea7be0d229</t>
  </si>
  <si>
    <t xml:space="preserve">OMB-2023-0020-0151</t>
  </si>
  <si>
    <t xml:space="preserve">OMB/2023-24269/comments/comment_attachments/OMB-2023-0020-0151_1.md</t>
  </si>
  <si>
    <t xml:space="preserve">The target population for AI solutions in healthcare includes but is not limited to race, sex, gender, socioeconomic background, education, age, country of origin, physical appearance, etc., and these variables must be taken into account when developing AI solutions. 3</t>
  </si>
  <si>
    <t xml:space="preserve">This approach will help to ensure accuracy and trustworthiness.</t>
  </si>
  <si>
    <t xml:space="preserve">The target population for AI solutions in healthcare includes but is not limited to race, sex, gender, socioeconomic background, education, age, country of origin, physical appearance, etc., and these variables must be taken into account when developing AI solutions.</t>
  </si>
  <si>
    <t xml:space="preserve">Historically, many ML models in healthcare have been biased due to the lack of data collected from minorities (women, members of the LGBT community, children, racial minorities, etc.).&lt;sup&gt;4&lt;/sup&gt;</t>
  </si>
  <si>
    <t xml:space="preserve">…e property distribution of the underlying dataset, such as, race, sex, gender, socioeconomic background, education, age, country of origin, physical appearance, etc. While all models should contain data that is diverse enough to represent all segments of the population, this is often not possible. Therefore, the metadata should contain the information
 Figshare. (2019 Jun). Retrieved from[: https://figshare.com/](https://figshare.com/)
![](_page_5_Picture_0.jpeg)
needed for the proper application of the model avoiding biases. This approach will help to ensure accuracy and trustworthiness.
⟦The target population for AI solutions in healthcare includes but is not limited to race, sex, gender, socioeconomic background, education, age, country of origin, physical appearance, etc., and these variables must be taken into account when developing AI solutions.⟧ &lt;sup&gt;3&lt;/sup&gt; Historically, many ML models in healthcare have been biased due to the lack of data collected from minorities (women, members of the LGBT community, children, racial minorities, etc.).&lt;sup&gt;4&lt;/sup&gt; For example, "Users discovered that Google's photo app, which applies automatic labels to pictures in digital photo albums, was [classifying images](http://blogs.wsj.com/digits/2015/07/01/google-mistakenly-tags-black-people-as-gorillas-showing-limits-of-algorithms/) of black people as gorillas. Google apologized; *it was* unintentional*." &lt;sup&gt;5&lt;/sup&gt;* AI solutions should make reasonabl…</t>
  </si>
  <si>
    <t xml:space="preserve">7273cf08-454a-5f45-878a-c669db8d5cca</t>
  </si>
  <si>
    <t xml:space="preserve">NIST-2019-0001-0101</t>
  </si>
  <si>
    <t xml:space="preserve">NIST/2019-08818/comments/comment_attachments/NIST-2019-0001-0101_1.md</t>
  </si>
  <si>
    <t xml:space="preserve">For example, researchers have demonstrated a method for reducing gender bias in BERT embeddings. 20</t>
  </si>
  <si>
    <t xml:space="preserve">A diverse pool of available models ensures that developers can continue to advance critical transparency and interpretability evaluations from which the developer community has already benefited.</t>
  </si>
  <si>
    <t xml:space="preserve">For example, researchers have demonstrated a method for reducing gender bias in BERT embeddings.</t>
  </si>
  <si>
    <t xml:space="preserve">Open models have also been used to advance safety research, including on interpretable internal representations and adversarial attacks.</t>
  </si>
  <si>
    <t xml:space="preserve">…aptop or desktop computer. &lt;sup&gt;18&lt;/sup&gt; We have already seen innovative uses of these models that further increase access to AI capabilities for more communities: for example, third-party developers have recently used and enhanced Gemma's generative capabilities to encompass a total of 15 Indian languages. 19
Openly available models also enable important AI safety research and community innovation. A diverse pool of available models ensures that developers can continue to advance critical transparency and interpretability evaluations from which the developer community has already benefited. ⟦For example, researchers have demonstrated a method for reducing gender bias in BERT embeddings.⟧ &lt;sup&gt;20&lt;/sup&gt; Open models have also been used to advance safety research, including on interpretable internal representations and adversarial attacks. 21 In addition, releasing open models can provide information, like user feedback, that can help guide future open releases.
differentiate native Python and NumPy functions. GitHub, *JAX: [Autograd](https://github.com/google/jax) and XLA*. In a major scientific advance, the latest version of our AI system [AlphaFold](https://deepmind.com/research/case-studies/alphafold) provides a solution to the so-called "protein folding problem," the myster…</t>
  </si>
  <si>
    <t xml:space="preserve">8a40de7e-daa1-5d96-9e62-90741327292e</t>
  </si>
  <si>
    <t xml:space="preserve">NTIA-2023-0009-0255</t>
  </si>
  <si>
    <t xml:space="preserve">NTIA/2024-03763/comments/comment_attachments/NTIA-2023-0009-0255_1.md</t>
  </si>
  <si>
    <t xml:space="preserve">table</t>
  </si>
  <si>
    <t xml:space="preserve">Differential Privacy can be applied to participant information before it is shared so that the contributions have additional privacy guarantees, mitigating the effectiveness of data reconstruction or membership inference attacks[5].</t>
  </si>
  <si>
    <t xml:space="preserve">q | Differential Privacy&lt;br&gt;can be applied to participant information before it is shared so that the contributions have additional privacy guarantees, mitigating the effectiveness of data reconstruction&lt;br&gt;or&lt;br&gt;membership inference&lt;br&gt;attacks[5].</t>
  </si>
  <si>
    <t xml:space="preserve">table_edge</t>
  </si>
  <si>
    <t xml:space="preserve">…nference attacks on these models [20]. Without sufficiently strong protections in place, such attacks make FL systems vulnerable to leaking sensitive data.
## **Risk Mitigation Strategies**
Well-designed FL systems typically have strong data privacy requirements, providing an opportunity for the integration of complementary PETs. This integration not only provides the privacy guarantees of each individual PET but also serves to mitigate some of the risks of FL outlined above. Below, we present examples of PETs that have been used to further enhance the privacy protections of a FL system:
| ⟦q | Differential Privacy&lt;br&gt;can be applied to participant information before it is shared so that the contributions have            |
|---|---------------------------------------------------------------------------------------------------------------------------------|
|   | additional privacy guarantees, mitigating the effectiveness of data reconstruction&lt;br&gt;or&lt;br&gt;membership inference&lt;br&gt;attacks[5].⟧ |
| q | Homomorphic Encryption&lt;br&gt;can be applied&lt;br&gt;to&lt;br&gt;participant information before it is shared so that the contributions         |
|   | have additional security guarantees, allowing for all participant contributions to remain encrypted throughout                  |
|   | the workflows&lt;br&gt;[4].                                                                                                           |
| q | Secure Aggregation&lt;br&gt;can be used to enforce cryptographically secure aggregation of participant information so                 |
|   | that no contribution can be inspected individua…</t>
  </si>
  <si>
    <t xml:space="preserve">a940708a-f46d-501b-a2ff-f9a43f0629a7</t>
  </si>
  <si>
    <t xml:space="preserve">Deloitte-Consulting-PET-RFI-Response-2022</t>
  </si>
  <si>
    <t xml:space="preserve">OSTP/2022-12432/comments/comment_attachments/Deloitte-Consulting-PET-RFI-Response-2022_1.md</t>
  </si>
  <si>
    <t xml:space="preserve">These comments build upon those The Leadership Conference submitted in the Privacy, Equity, and Civil Rights RFC. 4</t>
  </si>
  <si>
    <t xml:space="preserve">As we wrote in our response to NTIA's Request for Comments (RFC) on Privacy, Equity, and Civil Rights,&lt;sup&gt;2&lt;/sup&gt; we are encouraged by NTIA's leadership in advancing the Biden administration's goal of ensuring that the use of AI, and policies regulating the technology, are centered on equity and civil rights, including through the implementation of the AI Bill of Rights.&lt;sup&gt;3&lt;/sup&gt;</t>
  </si>
  <si>
    <t xml:space="preserve">These comments build upon those The Leadership Conference submitted in the Privacy, Equity, and Civil Rights RFC.</t>
  </si>
  <si>
    <t xml:space="preserve">We agree with NTIA's and the administration's view that for AI systems to be trustworthy, it is essential to "hold entities accountable for developing, using, and continuously improving the quality" of those systems to realize their benefits and reduce harm.</t>
  </si>
  <si>
    <t xml:space="preserve">… and democratic participation are at the center of communication and technology policy debates.
We appreciate NTIA's continued commitment to protecting the public in the age of rapidly emerging new technologies. As we wrote in our response to NTIA's Request for Comments (RFC) on Privacy, Equity, and Civil Rights,&lt;sup&gt;2&lt;/sup&gt; we are encouraged by NTIA's leadership in advancing the Biden administration's goal of ensuring that the use of AI, and policies regulating the technology, are centered on equity and civil rights, including through the implementation of the AI Bill of Rights.&lt;sup&gt;3&lt;/sup&gt; ⟦These comments build upon those The Leadership Conference submitted in the Privacy, Equity, and Civil Rights RFC.⟧ &lt;sup&gt;4&lt;/sup&gt; We agree with NTIA's and the administration's view that for AI systems to be trustworthy, it is essential to "hold entities accountable for developing, using, and continuously improving the quality" of those systems to realize their benefits and reduce harm. Mechanisms for accountability include measuring AI system risks, for example, through testing, risk assessments, and audits of AI systems, including civil rights audits. &lt;sup&gt;5&lt;/sup&gt; To meet the administration's goal to "advance American values and leadership in AI" and its racial and gender equity agenda, any accountability …</t>
  </si>
  <si>
    <t xml:space="preserve">0c286e12-6dc3-5802-b670-bd36fac96523</t>
  </si>
  <si>
    <t xml:space="preserve">NTIA-2023-0005-1267</t>
  </si>
  <si>
    <t xml:space="preserve">NTIA/2023-07776/comments/comment_attachments/NTIA-2023-0005-1267_1.md</t>
  </si>
  <si>
    <t xml:space="preserve">Leverage CHIPS R&amp;D activities, such as the CARISSMA, which aims to utilize AI to identify viable alternatives to PFAS and other chemicals currently used in semiconductor manufacturing, and PRISM, which is intended to accelerate progress on environmental controls.</t>
  </si>
  <si>
    <t xml:space="preserve">Support PFAS policies that empower authorities to implement risk-based analysis and emission controls while ensuring access to chemicals that are vitally important to the production of semiconductors.</t>
  </si>
  <si>
    <t xml:space="preserve">Leverage CHIPS R&amp;D activities, such as the CARISSMA&lt;sup&gt;5&lt;/sup&gt; [,](#page-7-2) which aims to utilize AI to identify viable alternatives to PFAS and other chemicals currently used in semiconductor manufacturing, and PRISM&lt;sup&gt;6&lt;/sup&gt; [,](#page-7-3) which is intended to accelerate progress on environmental controls.</t>
  </si>
  <si>
    <t xml:space="preserve">…t allow continued PFAS use in critical applications while promoting research into next-generation materials and advanced manufacturing processes. Encouraging innovation through risk-based regulation and targeted R&amp;D will strengthen the industry's ability to develop cutting-edge technologies that sustain semiconductor industry growth on the global stage.
#### **Recommended Policy Actions:**
- Support PFAS policies that empower authorities to implement risk-based analysis and emission controls while ensuring access to chemicals that are vitally important to the production of semiconductors.
- ⟦Leverage CHIPS R&amp;D activities, such as the CARISSMA&lt;sup&gt;5&lt;/sup&gt; [,](#page-7-2) which aims to utilize AI to identify viable alternatives to PFAS and other chemicals currently used in semiconductor manufacturing, and PRISM&lt;sup&gt;6&lt;/sup&gt; [,](#page-7-3) which is intended to accelerate progress on environmental controls.⟧
&lt;span id="page-7-0"&gt;&lt;/span&gt;&lt;sup&gt;3&lt;/sup&gt; According to the NSTC strategic vision issued by the CPO, NSTC technical centers are designed to provide "end-toend fabrication to enable small prototyping and pilot runs, experimentation with and testing of new materials and equipment, and other research-related activities."
&lt;span id="page-7-1"&gt;&lt;/span&gt;&lt;sup&gt;4&lt;/sup&gt; The NSTC Strategic Plan developed by CPO and Natcast, the NSTC operator, notes that "[sustainability] in semiconductor chip manufacturing is a broad topic including energy efficiency of the fab, water use, and emissions (greenhouse gases an…</t>
  </si>
  <si>
    <t xml:space="preserve">e37d95a1-0146-54e0-ab5a-b6970fbf2822</t>
  </si>
  <si>
    <t xml:space="preserve">SEMI-AI-RFI-2025</t>
  </si>
  <si>
    <t xml:space="preserve">NSF/2025-02305/comments/comment_attachments/SEMI-AI-RFI-2025_1.md</t>
  </si>
  <si>
    <t xml:space="preserve">To prevent misuse, AI developers often implement safeguards on their foundation models to limit dangerous capabilities, such as fine-tuning models to refuse to output hazardous content or filtering the inputs and outputs of models. 14</t>
  </si>
  <si>
    <t xml:space="preserve">Such purposes could include spreading disinformation, conducting surveillance, launching cyberattacks, or even developing biological, chemical, or nuclear weapons of mass destruction. 13</t>
  </si>
  <si>
    <t xml:space="preserve">To prevent misuse, AI developers often implement safeguards on their foundation models to limit dangerous capabilities, such as fine-tuning models to refuse to output hazardous content or filtering the inputs and outputs of models.</t>
  </si>
  <si>
    <t xml:space="preserve">However, because open foundation models can be modified by users, these safeguards can be removed at low cost (e.g., \$200).15</t>
  </si>
  <si>
    <t xml:space="preserve">…mpare to the risks associated with non-public model weights?"*
As discussed in the previous section, making model weights widely available has potential benefits for users of these models and for the public as a whole. However, the features of open foundation models might make them attractive to a variety of threat actors, including individuals and states, that seek to use the models for malicious purposes. Such purposes could include spreading disinformation, conducting surveillance, launching cyberattacks, or even developing biological, chemical, or nuclear weapons of mass destruction. 13
⟦To prevent misuse, AI developers often implement safeguards on their foundation models to limit dangerous capabilities, such as fine-tuning models to refuse to output hazardous content or filtering the inputs and outputs of models.⟧ &lt;sup&gt;14&lt;/sup&gt; However, because open foundation models can be modified by users, these safeguards can be removed at low cost (e.g., \$200).15 At least some compromised systems might be very hard to detect.16
3
&lt;sup&gt;10&lt;/sup&gt; Kapoor et al., "On the Societal Impact of Open Foundation Models."
&lt;sup&gt;11&lt;/sup&gt; Seger et al., "Open-Sourcing Highly Capable Foundation Models."
&lt;sup&gt;12&lt;/sup&gt; Boulanger, "Open-Source Versus Proprietary Software."
&lt;sup&gt;13&lt;/sup&gt; Shevlane et al., "Model Evaluation for Extreme Risks."
&lt;sup&gt;14&lt;/sup&gt; Bai et al., "Training a Helpful and Harmless Assistant with Reinforcement …</t>
  </si>
  <si>
    <t xml:space="preserve">99cacd5c-1a93-5f8e-bf4f-c50a9eb7027f</t>
  </si>
  <si>
    <t xml:space="preserve">NTIA-2023-0009-0249</t>
  </si>
  <si>
    <t xml:space="preserve">NTIA/2024-03763/comments/comment_attachments/NTIA-2023-0009-0249_1.md</t>
  </si>
  <si>
    <t xml:space="preserve">Consider directing the Office of Management and Budget to approve the current request to add a more extensive AI supplement to the Business Trends and Outlook Survey.</t>
  </si>
  <si>
    <t xml:space="preserve">The Census Bureau could build on its work measuring AI usage and impact across tens of thousands of firms on a biweekly basis.</t>
  </si>
  <si>
    <t xml:space="preserve">Consider directing the Office of Management and Budget to approve the current request to add a more extensive AI supplement to the Business Trends and Outlook Survey.&lt;sup&gt;25&lt;/sup&gt;</t>
  </si>
  <si>
    <t xml:space="preserve">Beyond the BTOS, the Census Bureau could also consider expanding its coverage of AI across its other instruments, with a priority on frequent data collection:</t>
  </si>
  <si>
    <t xml:space="preserve">…, **consider making high-frequency national measurement of R&amp;D automation effects a top priority within the U.S. Federal statistical system.** This could be done through creating entirely new survey instruments aimed at capturing these impacts. Alternatively, existing infrastructure can be adapted to capture AI-specific metrics. For example, there are a number of existing surveys that could be modified to gather more information on R&amp;D automation and AI delegation:
- The Census Bureau could build on its work measuring AI usage and impact across tens of thousands of firms on a biweekly basis. ⟦Consider directing the Office of Management and Budget to approve the current request to add a more extensive AI supplement to the Business Trends and Outlook Survey.&lt;sup&gt;25&lt;/sup&gt;⟧ Beyond the BTOS, the Census Bureau could also consider expanding its coverage of AI across its other instruments, with a priority on frequent data collection:
  - The Business R&amp;D and Innovation Survey (BRDIS) could track investments specifically in R&amp;D automation.
  - The Job-to-Job (J2J) Flows dataset could expand its quarterly collection and reporting to give more granular data on which workers are transitioning into/out of which occupations, so that rapid automation impacts specifically among R&amp;D workers are more noticeable.
- The National Center for Science and Engineering Statistics (NC…</t>
  </si>
  <si>
    <t xml:space="preserve">3b4635cb-bd78-5dbd-ae50-6939a03a575b</t>
  </si>
  <si>
    <t xml:space="preserve">METR-AI-RFI-2025</t>
  </si>
  <si>
    <t xml:space="preserve">NSF/2025-02305/comments/comment_attachments/METR-AI-RFI-2025_1.md</t>
  </si>
  <si>
    <t xml:space="preserve">fuzzy_85_95</t>
  </si>
  <si>
    <t xml:space="preserve">5. Nooks SCIF: - [https://nooks.works](https://nooks.works/)</t>
  </si>
  <si>
    <t xml:space="preserve">[https://nooks.works](https://nooks.works/)</t>
  </si>
  <si>
    <t xml:space="preserve">6. OTAs and Basic Ordering Agreements:</t>
  </si>
  <si>
    <t xml:space="preserve">…s that empower operators and improve mission success across all levels of command.
#### **References:**
- 1. People, Process, and Technology: &lt;https://www.walkme.com/blog/people-process-technology-framework/&gt;
- 2. Implementing Continuous Delivery: The JIDO Approach https://media.defense.gov/2019/May/01/2002126694/-1/-1/0/VIGNETTE%201%20-%20I MPLEMENTING%20CONTINUOUS%20DELIVERY%20THE%20JIDO%20APPROACH. PDF
- 3. Air Force Platform One: [https://software.af.mil](https://software.af.mil/)
- 4. 2nd Front Systems Game Warden Platform: &lt;https://www.secondfront.com/game-warden&gt;
- 5. Nooks SCIF:
  - ⟦[https://nooks.works](https://nooks.works/)⟧
- 6. OTAs and Basic Ordering Agreements: &lt;https://www.acquisition.gov/far/16.703&gt;
- 7. [https://www.acq.osd.mil/asda/dpc/cp/policy/docs/guidebook/TAB%20A1%20-%20DoD%](https://www.acq.osd.mil/asda/dpc/cp/policy/docs/guidebook/TAB%20A1%20-%20DoD%20OT%20Guide%20JUL%202023_final.pdf) [20OT%20Guide%20JUL%202023\\_final.pdf](https://www.acq.osd.mil/asda/dpc/cp/policy/docs/guidebook/TAB%20A1%20-%20DoD%20OT%20Guide%20JUL%202023_final.pdf)
- 8. US Army Common Hardware Systems Contract: [https://www.army.mil/article/271364/common\\_hardware\\_systems\\_chs\\_6\\_contract\\_availa](https://www.army.mil/…</t>
  </si>
  <si>
    <t xml:space="preserve">a86a88cd-73d0-59b5-9bcb-68216819f85c</t>
  </si>
  <si>
    <t xml:space="preserve">Adam-Hayes-AI-RFI-2025</t>
  </si>
  <si>
    <t xml:space="preserve">NSF/2025-02305/comments/comment_attachments/Adam-Hayes-AI-RFI-2025_1.md</t>
  </si>
  <si>
    <t xml:space="preserve">Similarly, SpaceX\u2014today's leader in commercial space exploration\u2014rapidly scaled due to government funding, including a $396 million NASA contract in 2006.15</t>
  </si>
  <si>
    <t xml:space="preserve">In addition, Tesla along with other EV companies customers received substantial earlier tax credits in states like California.</t>
  </si>
  <si>
    <t xml:space="preserve">Similarly, SpaceX—today's leader in commercial space exploration—rapidly scaled due to government funding, including a \$396 million NASA contract in 2006.&lt;sup&gt;15&lt;/sup&gt;</t>
  </si>
  <si>
    <t xml:space="preserve">Similarly, the AI company Palantir benefited substantially from early-stage government contracts, leveraging federal support to establish itself as a leading force in data analytics critical to U.S. national security.</t>
  </si>
  <si>
    <t xml:space="preserve">…sformative companies such as Tesla (AI company), SpaceX, and Palantir (AI company). Each vividly illustrates how government backing of visionary startups—not incumbents—can reshape global industries and secure lasting technological leadership.
Tesla's success, for instance, was catalyzed through crucial early U.S. government assistance, notably a pivotal \$465 million loan from the Department of Energy's Advanced Technology Vehicle Manufacturing program.&lt;sup&gt;14&lt;/sup&gt; In addition, Tesla along with other EV companies customers received substantial earlier tax credits in states like California. ⟦Similarly, SpaceX—today's leader in commercial space exploration—rapidly scaled due to government funding, including a \$396 million NASA contract in 2006.&lt;sup&gt;15&lt;/sup&gt;⟧ Similarly, the AI company Palantir benefited substantially from early-stage government contracts, leveraging federal support to establish itself as a leading force in data analytics critical to U.S. national security.
*However*, recent U.S. strategies have significantly diverged from this historically successful model. Policies like the CHIPS Act predominantly channel vast funds toward entrenched incumbents—such as Intel, Nvidia, and TSMC—instead of nurturing new startups and disruptive technologies. History demonstrates that incumbent-focused strategies consistently yield incremental result…</t>
  </si>
  <si>
    <t xml:space="preserve">c5bdafbd-f876-5075-b931-0f47f80f7ab3</t>
  </si>
  <si>
    <t xml:space="preserve">shiftIQ-AI-RFI-2025</t>
  </si>
  <si>
    <t xml:space="preserve">NSF/2025-02305/comments/comment_attachments/shiftIQ-AI-RFI-2025_1.md</t>
  </si>
  <si>
    <t xml:space="preserve">Unfortunately, the unpredictably lengthy processing times for IEP applications continue to make it difficult for prospective applicants to access the program. It is our understanding that very few entrepreneurs have applied, and even fewer have been approved, despite the Department of Homeland Security (DHS) initially estimating that as many as 2,900 entrepreneurs would qualify annually.[11]</t>
  </si>
  <si>
    <t xml:space="preserve">If it were functioning at its full potential, IEP could fill the gap in pathways for entrepreneurs and has the potential to create a million jobs over ten years.[10](#page-5-3)</t>
  </si>
  <si>
    <t xml:space="preserve">Unfortunately, the unpredictably lengthy processing times for IEP applications continue to make it difficult for prospective applicants to access the program. It is our understanding that very few entrepreneurs have applied, and even fewer have been approved, despite the Department of Homeland Security (DHS) initially estimating that as many as 2,900 text=Source%3A%20U.S.</t>
  </si>
  <si>
    <t xml:space="preserve">%20Bureau%20of%20Labor%20Statistics%2C%20Statistics%20Canada%2C%2 https://nfap.com/research/new-nfap-policy-brief-ai-and-immigrants/ 10 Caleb Watney, Lindsay Milliken, and Doug Rand, "Long Live The International Entrepreneur Rule," *Progressive Policy Institute* (February 2021), https://innovationfrontier.org/long-live-the-international-entrepreneur-rule/.</t>
  </si>
  <si>
    <t xml:space="preserve">… of the top U.S.-based AI companies had a founder who came to America as an international student.[9](#page-5-2)
International Entrepreneur Parole (IEP) is currently one of our best options to bring innovative entrepreneurs to our country and allow those who are already here to stay. U.S. immigration policy that pushes away entrepreneurs is one reason why the U.S. share of global venture capital has fallen below 50%. If it were functioning at its full potential, IEP could fill the gap in pathways for entrepreneurs and has the potential to create a million jobs over ten years.[10](#page-5-3)
⟦Unfortunately, the unpredictably lengthy processing times for IEP applications continue to make it difficult for prospective applicants to access the program. It is our understanding that very few entrepreneurs have applied, and even fewer have been approved, despite the Department of Homeland Security (DHS) initially estimating that as many as 2,900
&lt;span id="page-5-0"&gt;&lt;/span&gt;&lt;sup&gt;7&lt;/sup&gt; "NVCA Yearbook," National Venture Capital Association (March 2023), https://nvca.org/nvca-yearbook/ 8 "Tech-30 2024," CBRE (November 2024), available at https://www.cbre.com/insights/reports/tech-30-
&lt;span id="page-5-1"&gt;&lt;/span&gt;&lt;sup&gt;2024#:~:&lt;/sup&gt;text=Source%3A%20U.S.⟧%20Bureau%20of%20Labor%20Statistics%2C%20Statistics%20Canada%2C%2
&lt;span id="page-5-2"&gt;&lt;/span&gt;&lt;sup&gt;0&lt;/sup&gt;CBRE,%2C%20each%20more%20than%2040%25. 9 Stuart Anderson, "AI and Immigrants," *National Foundation for American Policy*, June, 2023,
&lt;span id="page-5-3"&gt;&lt;/span&gt;https://nfap.com/research/new-nfap-policy-brief-ai-and-immigrants/ 10 Caleb Watney, Lindsay Milliken, and Doug Rand, "Long Live The International Entrepreneur Rule," *Progressive Policy Institute* (February 2021), https://innovationfrontier.org/long-live-the-international-entrepreneur-rule/.
entrepreneurs would qualify annually.[…</t>
  </si>
  <si>
    <t xml:space="preserve">657f174f-7f93-59c8-8683-eb937eed062b</t>
  </si>
  <si>
    <t xml:space="preserve">NVCA-AI-RFI-2025</t>
  </si>
  <si>
    <t xml:space="preserve">NSF/2025-02305/comments/comment_attachments/NVCA-AI-RFI-2025_1.md</t>
  </si>
  <si>
    <t xml:space="preserve">refuse harmful requests) Attack success rate when attempting to elicit harmful biological information from the model, through manual or automated jailbreaking</t>
  </si>
  <si>
    <t xml:space="preserve">14,15&lt;br&gt;refuse&lt;br&gt;harmful&lt;br&gt;requests)&lt;br&gt;●&lt;br&gt;Attack&lt;br&gt;success&lt;br&gt;rate&lt;br&gt;when&lt;br&gt;attempting&lt;br&gt;to&lt;br&gt;elicit&lt;br&gt;harmful&lt;br&gt;biological&lt;br&gt;information&lt;br&gt;from&lt;br&gt;the&lt;br&gt;model,&lt;br&gt;through&lt;br&gt;manual&lt;br&gt;or&lt;br&gt;automated&lt;br&gt;jailbreaking</t>
  </si>
  <si>
    <t xml:space="preserve">…ent, M. et al. (2023) Evaluating Language-Model Agents on Realistic Autonomous Tasks. [https://arxiv.org/abs/2312.11671.](https://arxiv.org/abs/2312.11671)
&lt;sup&gt;12&lt;/sup&gt; Li, N. et al. (2024) The WMDP Benchmark: Measuring and Reducing Malicious Use With Unlearning. [https://arxiv.org/abs/2403.03218.](https://arxiv.org/abs/2403.03218)
&lt;sup&gt;13&lt;/sup&gt; Laurent, J. et al. (2024) LAB-Bench: Measuring Capabilities of Language Models for Biology Research. [https://arxiv.org/abs/2407.1036.](https://arxiv.org/abs/2407.10362)
|                                                                           | ⟦14,15&lt;br&gt;refuse&lt;br&gt;harmful&lt;br&gt;requests)&lt;br&gt;●&lt;br&gt;Attack&lt;br&gt;success&lt;br&gt;rate&lt;br&gt;when&lt;br&gt;attempting&lt;br&gt;to&lt;br&gt;elicit&lt;br&gt;harmful&lt;br&gt;biological&lt;br&gt;information&lt;br&gt;from&lt;br&gt;the&lt;br&gt;model,&lt;br&gt;through&lt;br&gt;manual&lt;br&gt;or&lt;br&gt;automated&lt;br&gt;jailbreaking⟧                                                                                                                                                                                                                                                                                                                                                                                                                                                                                                                                                                                                                        …</t>
  </si>
  <si>
    <t xml:space="preserve">e3936a4a-ffa8-5adb-be8d-7f57a6ba7610</t>
  </si>
  <si>
    <t xml:space="preserve">BIS-2024-0047-0048</t>
  </si>
  <si>
    <t xml:space="preserve">BIS/2024-20529/comments/comment_attachments/BIS-2024-0047-0048_1.md</t>
  </si>
  <si>
    <t xml:space="preserve">We see evidence of this in the 25 [Biden-Harris Administration Secures Voluntary Commitments from Eight Additional Artificial](https://www.whitehouse.gov/briefing-room/statements-releases/2023/09/12/fact-sheet-biden-harris-administration-secures-voluntary-commitments-from-eight-additional-artificial-intelligence-companies-to-manage-the-risks-posed-by-ai/#:%7E:text=Today%2C%20U.S.%20Secretary%20of%20Commerce,%E2%80%94Adobe%2C%20Cohere%2C%20IBM%2C) [Intelligence Companies to Manage the Risks Posed by AI | The White House](https://www.whitehouse.gov/briefing-room/statements-releases/2023/09/12/fact-sheet-biden-harris-administration-secures-voluntary-commitments-from-eight-additional-artificial-intelligence-companies-to-manage-the-risks-posed-by-ai/#:%7E:text=Today%2C%20U.S.%20Secretary%20of%20Commerce,%E2%80%94Adobe%2C%20Cohere%2C%2C%20IBM%2C)[.](https://www.whitehouse.gov/wp-content/uploads/2023/07/Ensuring-Safe-Secure-and-Trustworthy-AI.pdf)</t>
  </si>
  <si>
    <t xml:space="preserve">Among these we would urge Congress to criminalize the creation and dissemination of NCII to raise the cost on bad actors.</t>
  </si>
  <si>
    <t xml:space="preserve">This is an area that the researchers in the Kapoor and Bommasani [https://partnershiponai.org/wp-content/uploads/1923/10/PAI-Model-Deployment-Guidance.pdf;](https://partnershiponai.org/wp-content/uploads/1923/10/PAI-Model-Deployment-Guidance.pdf) paper identify as having greater marginal risk in open versus closed models, and an area that is not covered well by existing law.[29](#page-9-0)</t>
  </si>
  <si>
    <t xml:space="preserve">…erences among models, and differences around model training data. In addition, advances in foundation models, risk mitigation techniques (TEVV, auditing, red-teaming, and so on) and the capabilities of bad actors mean that any approach must be sufficiently flexible and agile to adapt.
Nevertheless, there are discrete areas in which the risk associated with foundation models and in particular open models may be sufficiently acute that action by Congress would be necessary. Among these we would urge Congress to criminalize the creation and dissemination of NCII to raise the cost on bad actors. ⟦This is an area that the researchers in the Kapoor and Bommasani
[https://partnershiponai.org/wp-content/uploads/1923/10/PAI-Model-Deployment-Guidance.pdf;](https://partnershiponai.org/wp-content/uploads/1923/10/PAI-Model-Deployment-Guidance.pdf)
&lt;span id="page-8-0"&gt;&lt;/span&gt;&lt;sup&gt;25&lt;/sup&gt; [Biden-Harris Administration Secures Voluntary Commitments from Eight Additional Artificial](https://www.whitehouse.gov/briefing-room/statements-releases/2023/09/12/fact-sheet-biden-harris-administration-secures-voluntary-commitments-from-eight-additional-artificial-intelligence-companies-to-manage-the-risks-posed-by-ai/#:%7E:text=Today%2C%20U.S.%20Secretary%20of%20Commerce,%E2%80%94Adobe%2C%20Cohere%2C%20IBM%2C)  [Intelligence Companies to Manage the Risks Posed by AI | The White House](https://www.whitehouse.gov/briefing-room/statements-releases/2023/09/12/fact-sheet-biden-harris-administration-secures-voluntary-commitments-from-eight-additional-artificial-intelligence-companies-to-manage-the-risks-posed-by-ai/#:%7E:text=Today%2C%20U.S.%20Secretary%20of%20Commerce,%E2%80%94Adobe%2C%20Cohere%2C%20IBM%2C)[.](https://www.whitehouse.gov/wp-content/uploads/2023/07/Ensuring-Safe-Secure-and-Trustworthy-AI.pdf)
&lt;span id="page-8-1"&gt;&lt;/span&gt;&lt;sup&gt;26&lt;/sup&gt; Kapoor and Bommasani et al. at 5-7.
&lt;span id="page-8-2"&gt;&lt;/span&gt;&lt;sup&gt;27&lt;/sup&gt; We also recommend the work of Stanford's HAI, the Partnership on AI, and Berkley's GPAIS. See [https://hai.stanford.edu/sites/default/files/2023-12/Governing-Open-Foundation-Models.pdf;](https://hai.stanford.edu/sites/default/files/2023-12/Governing-Open-Foundation-Models.pdf)
&lt;span id="page-8-3"&gt;&lt;/span&gt;&lt;sup&gt;28&lt;/sup&gt; UC Berkeley Center For Long-Term Cybersecurity, *AI Risk-Management Standards Profile for General-Purpose AI Systems (GPAIS) and Foundation Models*, (Nov. 2023)[. https://cltc.berkeley.edu/wp](https://cltc.berkeley.edu/wp-content/uploads/2023/11/Berkeley-GPAIS-Foundation-Model-Risk-Management-Standards-Profile-v1.0.pdf)[content/uploads/2023/11/Berkeley-GPAIS-Foundation-Model-Risk-Management-Standards-Profile](https://cltc.berkeley.edu/wp-content/uploads/2023/11/Berkeley-GPAIS-Foundation-Model-Risk-Management-Standards-Profile-v1.0.pdf)[v1.0.pdf.](https://cltc.berkeley.edu/wp-content/uploads/2023/11/Berkeley-GPAIS-Foundation-Model-Risk-Management-Standards-Profile-v1.0.pdf)
paper identify as having greater marginal risk in open versus closed models, and an area that is not covered well by existing law.[29](#page-9-0)⟧
#### **6. What are the legal or business issues or effects related to open foundation models?**
**6.a. In which ways is open-source software policy analogous (or not) to the availability of model weights? Are there lessons we can learn from the history and ecosystem of opensource software, open data, and other ''open'' initiatives for open foundation models, particularly the availability of model weights?** 
The overall lesson of the open source software movement has been that openness has led to greater rather than less safety, as well as innovation, transparency, and collaboration.[30](#…</t>
  </si>
  <si>
    <t xml:space="preserve">6ee2f9bc-1926-5577-9da6-791cb3f95861</t>
  </si>
  <si>
    <t xml:space="preserve">NTIA-2023-0009-0243</t>
  </si>
  <si>
    <t xml:space="preserve">NTIA/2024-03763/comments/comment_attachments/NTIA-2023-0009-0243_1.md</t>
  </si>
  <si>
    <t xml:space="preserve">For example, grid interconnection requests for new generation resources can take four to seven years for power hookup.15</t>
  </si>
  <si>
    <t xml:space="preserve">For example, state and local landuse permits often take years to clear for large construction projects.</t>
  </si>
  <si>
    <t xml:space="preserve">Additionally, grid interconnection requests for new generation resources can take four to seven years for power hookup.15</t>
  </si>
  <si>
    <t xml:space="preserve">Finally, transmission line projects often face complex multistate permitting processes and local opposition, further delaying power delivery to data centers.16</t>
  </si>
  <si>
    <t xml:space="preserve">…p&gt;10&lt;/sup&gt; If exponential growth in chip supply continues.
&lt;sup&gt;11&lt;/sup&gt; Pilz, 2025.
&lt;sup&gt;12&lt;/sup&gt;Sebastian Moss, "Meta's Mark Zuckerberg Says Energy Constraints Are Holding Back AI Data Center Buildout," webpage, April 19, 2024.
&lt;sup&gt;13&lt;/sup&gt; Pilz, 2025.
&lt;sup&gt;14&lt;/sup&gt; Pilz, 2025.
# *Impact of Federal, State, and Local Regulations*
One of the key challenges in constructing data centers and power infrastructure is permitting processes, which can cause significant delays in development. For example, state and local landuse permits often take years to clear for large construction projects. ⟦Additionally, grid interconnection requests for new generation resources can take four to seven years for power hookup.15⟧ Finally, transmission line projects often face complex multistate permitting processes and local opposition, further delaying power delivery to data centers.16 The difficulty of securing local and state permits is compounded by environmental regulations that make the use of available power sources challenging – limiting data center developers' opportunities to procure power quickly, and pushing them to rely on more challenging-to-scale renewable options. National Environmental Policy Act (NEPA) environment impact statement (EIS) completion time was on average 4.5 years.17 A recent U.S. Depart…</t>
  </si>
  <si>
    <t xml:space="preserve">2ff55792-0757-5974-8c35-0e04de28384b</t>
  </si>
  <si>
    <t xml:space="preserve">Full access to model weights, aside from reproducibility, also is required for work such as interpretability research or investigation on modifying model training methods or architectures[55].</t>
  </si>
  <si>
    <t xml:space="preserve">Open weights allow for reproducible research not obsoleted by the deprecation of companies' previous-generation offerings, and allow for customization to new use cases or other reuses.</t>
  </si>
  <si>
    <t xml:space="preserve">Full access to model weights, aside from reproducibility, also is required for work such as interpretability research or investigation on modifying model training methods Irene Solaiman.</t>
  </si>
  <si>
    <t xml:space="preserve">2023. The gradient of generative ai release: methods and considerations.</t>
  </si>
  <si>
    <t xml:space="preserve">…ge-9-3). The information in this section also relates to the definition of "wide availability" (1.c.), as well as multiple risks and benefits questions: 2.a, 3.b, 3.e, and 4.
#### &lt;span id="page-9-2"&gt;&lt;/span&gt;4.1 Model Components
The most important component of model access is model weights. Openly available model weights are a necessary prerequisite for open foundation models, and provide significant benefits. Open weights allow for reproducible research not obsoleted by the deprecation of companies' previous-generation offerings, and allow for customization to new use cases or other reuses. ⟦Full access to model weights, aside from reproducibility, also is required for work such as interpretability research or investigation on modifying model training methods
&lt;span id="page-9-3"&gt;&lt;/span&gt;&lt;sup&gt;54.&lt;/sup&gt; Irene Solaiman.⟧ 2023. The gradient of generative ai release: methods and considerations. arXiv: [2302.04844](https://arxiv.org/abs/2302.04844) [cs.CY].
or architectures[55](#page-10-0). They also carry substantial financial benefit to the ecosystem at large. Access to model weights allows organizations to run models locally, which is cheaper than APIs, and locally hosted models are able to maintain user privacy in ways that can be highly desirable or even legally required, depending on the context. Although open weights carry a majority of the benefits of open foundation models, they also hold the burden of…</t>
  </si>
  <si>
    <t xml:space="preserve">ba4a2c88-e7e0-56d7-afda-64c17c678855</t>
  </si>
  <si>
    <t xml:space="preserve">NTIA-2023-0009-0291</t>
  </si>
  <si>
    <t xml:space="preserve">NTIA/2024-03763/comments/comment_attachments/NTIA-2023-0009-0291_1.md</t>
  </si>
  <si>
    <t xml:space="preserve">An AI might also associate disability with toxic content or harmful stereotypes or rate a resume lower because of presumed incompetence .</t>
  </si>
  <si>
    <t xml:space="preserve">For example, if an autonomous vehicle fails to detect an unusual case, such as a wheelchair user who propels herself backwards using her feet [Moura 2022], that error could lead to a life or death situation.</t>
  </si>
  <si>
    <t xml:space="preserve">An AI might also associate disability with toxic content or harmful stereotypes [Mack 2024] or rate a resume lower because of presumed incompetence [Glazko, 2024].</t>
  </si>
  <si>
    <t xml:space="preserve">These results may be due to lack of representation during data collection, or algorithms that learn primarily from common cases.</t>
  </si>
  <si>
    <t xml:space="preserve">…re concerns with a technology that is often based on probability and thus tends toward the most common case rather than those at the margins. Recent reports by Whittaker et al. [2019], Trewin et al. [2019], and Guo et al. [2020] highlight concerns about AI's potential negative impact on inclusion, representation, and equity for those in marginalized communities, including disabled people. For example, if an autonomous vehicle fails to detect an unusual case, such as a wheelchair user who propels herself backwards using her feet [Moura 2022], that error could lead to a life or death situation. ⟦An AI might also associate disability with toxic content or harmful stereotypes [Mack 2024] or rate a resume lower because of presumed incompetence [Glazko, 2024].⟧ These results may be due to lack of representation during data collection, or algorithms that learn primarily from common cases. These problems replicate and amplify biases experienced by disabled people when interacting in everyday life. Further, AI may fail to accessibly support verification and validation [Glazko, 2023].
Moving forward, our challenge will be to capitalize on the new capabilities AI provides, while avoiding the potential problems it might create due to biases and other concerns. In this RFI response, we define disability in terms of the discriminatory and often systemic pr…</t>
  </si>
  <si>
    <t xml:space="preserve">32ca0de1-14c9-5513-8bb7-52be08db66af</t>
  </si>
  <si>
    <t xml:space="preserve">AI-RFI-2025-1500</t>
  </si>
  <si>
    <t xml:space="preserve">NSF/2025-02305/comments/comment_attachments/AI-RFI-2025-1500_1.md</t>
  </si>
  <si>
    <t xml:space="preserve">In particular, [Harm](https://www.harmbench.org/)[bench](https://www.harmbench.org/) had gaps in areas like malicious code tasks and copyright violations.</t>
  </si>
  <si>
    <t xml:space="preserve">Even when the evaluations did align they were incomplete.</t>
  </si>
  <si>
    <t xml:space="preserve">In particular, [Harm](https://www.harmbench.org/)[bench](https://www.harmbench.org/) [\[Team, 2024\]](#page-4-10) had gaps in areas like malicious code tasks and copyright violations.</t>
  </si>
  <si>
    <t xml:space="preserve">Going forward we need more test coverage with smaller focused evaluations that can be combined.</t>
  </si>
  <si>
    <t xml:space="preserve">…. There was a language barrier between the data scientists reviewing submissions and DEF CON attendees, but once we overcame this, the feedback we received was overwhelmingly positive. Hackers enjoy discovering idiosyncrasies in the model's behavior and building arguments as much as they enjoy other puzzles.
This approach revealed its own problems. Creating the model card was challenging due to a non-existent standard, and the evaluations that were used to support the intent statements didn't always align well with researchers' goals. Even when the evaluations did align they were incomplete. ⟦In particular, [Harm](https://www.harmbench.org/)[bench](https://www.harmbench.org/) [\[Team, 2024\]](#page-4-10) had gaps in areas like malicious code tasks and copyright violations.⟧ Going forward we need more test coverage with smaller focused evaluations that can be combined.
However the most important finding is: the idea of taking reports of flaws against a model using a documented "contract" supported with evaluations doesn't scale. Reports can impact several different aspects of this proposed process and individual companies handling them manually would be onerous. A report could indicate that a broad category of evaluations missed a vital subcategory. This would impact the model card and evaluation system, but not the model. For example, a new class of vulnerabili…</t>
  </si>
  <si>
    <t xml:space="preserve">f089e209-bdc6-54b3-9ff3-800f719d2880</t>
  </si>
  <si>
    <t xml:space="preserve">Sven-Cattell-AI-RFI-2025</t>
  </si>
  <si>
    <t xml:space="preserve">NSF/2025-02305/comments/comment_attachments/Sven-Cattell-AI-RFI-2025_1.md</t>
  </si>
  <si>
    <t xml:space="preserve">However, there's [public mistrust](https://www.axios.com/2024/03/05/ai-trust-problem-edelman) in AI, and as we deploy these systems we will find more flaws that need to be addressed.</t>
  </si>
  <si>
    <t xml:space="preserve">Established AI models are far more reliable, just look at the hallucination rate of the [latest model release from Google](https://github.com/vectara/hallucination-leaderboard) [\[Vectara, 2024,](#page-4-5) [Hughes, 2023\]](#page-4-6).</t>
  </si>
  <si>
    <t xml:space="preserve">However, there's [public mistrust](https://www.axios.com/2024/03/05/ai-trust-problem-edelman) [\[Fried, 2024\]](#page-4-7) in AI, and as we deploy these systems we will find more flaws that need to be addressed.</t>
  </si>
  <si>
    <t xml:space="preserve">The challenge we face with LLMs is proving to customers and the public that these models are ready to use in their applications.</t>
  </si>
  <si>
    <t xml:space="preserve">…hen adversaries are controlling the inputs is impossible. However, the ML security community has over 20 years of experience with AI risk management and has a track record of securing AI models against persistent adversaries. Mature teams focus on discovering and minimizing the impact of attacks once they've reached a suitable level of robustness. And it works. Established AI models are far more reliable, just look at the hallucination rate of the [latest model release from Google](https://github.com/vectara/hallucination-leaderboard) [\[Vectara, 2024,](#page-4-5) [Hughes, 2023\]](#page-4-6). ⟦However, there's [public mistrust](https://www.axios.com/2024/03/05/ai-trust-problem-edelman) [\[Fried, 2024\]](#page-4-7) in AI, and as we deploy these systems we will find more flaws that need to be addressed.⟧ The challenge we face with LLMs is proving to customers and the public that these models are ready to use in their applications.
The solution people turned to was AI Red teaming. This basically meant
that the risk assessment of the model systems would be done by a third party. After running the first two [Generative Red Teams](https://grt.aivillage.org/) [\[Sven Cattell, 2024,](#page-4-8) [Cattell,](#page-3-1) [2024\]](#page-3-1) at DEF CON 31 and 32, I believe that the focus on AI red teaming is missing the forest for the trees. A company's traditional software reliability is proven by the…</t>
  </si>
  <si>
    <t xml:space="preserve">347605f2-d02c-54a3-8943-89f02c1433ff</t>
  </si>
  <si>
    <t xml:space="preserve">This includes such efforts as guidelines, ethics or review boards and formal policies and procedures. While governance-related publications are cited in footnotes, this topic is not really highlighted in the appendix or elsewhere in the publication.[5]</t>
  </si>
  <si>
    <t xml:space="preserve">A**ppendix B. Example Methods to Mitigate Misuse Risk**: In addition to other strategies noted, governance is an important consideration.[5](#page-0-4)</t>
  </si>
  <si>
    <t xml:space="preserve">This includes such efforts as guidelines, ethics or https://www.cnas.org/publications/reports/ai-and-the-evolution-of-biological-national-security-risks and Virtual Event | AI and the Evolution of Biological National Security Risks,https://www.cnas.org/events/virtual-event-ai-andthe-evolution-of-biological-national-security-risks review boards and formal policies and procedures. While governance-related publications are cited in footnotes, this topic is not really highlighted in the appendix or elsewhere in the publication.</t>
  </si>
  <si>
    <t xml:space="preserve">Likewise, ethics/ethical practices warrant further discussion.</t>
  </si>
  <si>
    <t xml:space="preserve">…cus is on monitoring and responding to misuse of the model. One focus also should be learning general lessons from the field even if not directly impacting a particular model. There also should be an ongoing evaluation component that focuses on improvements and enhancements and informed by best practices within the field. Transparency reports from other entities and concerning other models can help inform this work (see Objective 7, page 20).
A**ppendix B. Example Methods to Mitigate Misuse Risk**: In addition to other strategies noted, governance is an important consideration.[5](#page-0-4) ⟦This includes such efforts as guidelines, ethics or
&lt;span id="page-0-0"&gt;&lt;/span&gt;&lt;sup&gt;1&lt;/sup&gt; AI and the Evolution of Biological National Security Risks, Aug. 13, 2024,
https://www.cnas.org/publications/reports/ai-and-the-evolution-of-biological-national-security-risks and Virtual Event | AI and the Evolution of Biological National Security Risks,https://www.cnas.org/events/virtual-event-ai-andthe-evolution-of-biological-national-security-risks
&lt;span id="page-0-1"&gt;&lt;/span&gt;&lt;sup&gt;2&lt;/sup&gt; https://www.aspi.org.au/program/critical-technology-tracker
&lt;span id="page-0-2"&gt;&lt;/span&gt;&lt;sup&gt;3&lt;/sup&gt; https://www.38north.org/2024/01/north-koreas-artificial-intelligence-research-trends-and-potential-civilian-andmilitary-applications/
&lt;span id="page-0-3"&gt;&lt;/span&gt;&lt;sup&gt;4&lt;/sup&gt; https://www.un.org/en/ai-advisory-body
&lt;span id="page-0-4"&gt;&lt;/span&gt;&lt;sup&gt;5&lt;/sup&gt; https://www.ibm.com/think/topics/ai-governance; https://ai.bsa.org/wp-content/uploads/2019/09/Model-AI-Framework-First-Edition.pdf; https://ojs.aaai.org/aimagazine/index.php/aimagazine/article/view/5200
review boards and formal policies and procedures. While governance-related publications are cited in footnotes, this topic is not really highlighted in the appendix or elsewhere in the publication.⟧ Likewise, ethics/ethical practices warrant further discussion. [6](#page-1-0) An ethical framework should guide model development, use and evolution. This could especially be part of Objective 1 (Identify Potential Misuse Risk, page 8).
Thank you for your consideration of this input.
Sincerely,
Mitchell Berger
Digitally signed by Mitchell Berger DN: cn=Mitchell Berger, c=US, email=mazruia@hotmail.com Date: 2025.01.19 19:38:51 -05'00'
Mitchell Berger Note/Disclosure: I am submitting these suggestions solely in my personal/private capacity. The views expressed are mine only and should not …</t>
  </si>
  <si>
    <t xml:space="preserve">12ad8ba6-48dc-557a-abf7-1f6f3e8a7dc2</t>
  </si>
  <si>
    <t xml:space="preserve">NIST-2025-0001-0002</t>
  </si>
  <si>
    <t xml:space="preserve">NIST/2025-00698/comments/comment_attachments/NIST-2025-0001-0002_1.md</t>
  </si>
  <si>
    <t xml:space="preserve">For example, the National Highway Traffic Safety Administration (NHTSA) monitors the automobile supply chain, conducting recalls when a part (e.g., a batch of car brakes) has been identified to be faulty. 21</t>
  </si>
  <si>
    <t xml:space="preserve">First, supply chain monitoring enables *recourse* to stop further harm.</t>
  </si>
  <si>
    <t xml:space="preserve">For example, the National Highway Traffic Safety Administration (NHTSA) monitors the automobile supply chain, conducting recalls when a part (e.g., a batch of car brakes) has been identified to be faulty.</t>
  </si>
  <si>
    <t xml:space="preserve">Second, supply chain monitoring identifies *algorithmic monoculture*&lt;sup&gt;22&lt;/sup&gt; : the pervasive dependence on a single asset (e.g., foundation model).</t>
  </si>
  <si>
    <t xml:space="preserve">… analogy, the federal government should track the assets and supply chain in the foundation model ecosystem to understand market structure, address supply chain risk, and promote resiliency. As an example implementation, Stanford's Ecosystem Graphs currently documents the foundation model ecosystem, supporting a variety of downstream policy use cases and scientific analyses.20
*How digital supply chain monitoring improves accountability.* Supply chain monitoring is highly multifunctional—we describe three clear benefits. First, supply chain monitoring enables *recourse* to stop further harm. ⟦For example, the National Highway Traffic Safety Administration (NHTSA) monitors the automobile supply chain, conducting recalls when a part (e.g., a batch of
4
&lt;sup&gt;14&lt;/sup&gt; For example, see Article 28 entitled "Responsibilities Along the AI Value Chain of Providers, Distributors, Importers, Deployers or Other Third Party" in the current European Parliament version: European Parliament. *DRAFT Compromise Amendments on the Draft Report, Proposal for a regulation of the European Parliament and of the Council on harmonised rules on Artificial Intelligence (Artificial Intelligence Act) and amending certain Union Legislative Acts*. 2023. [https://www.europarl.europa.eu/resources/library/media/20230516RES90302/](https://www.europarl.europa.eu/resources/library/media/20230516RES90302/20230516RES90302.pdf) [20230516RES90302.pdf](https://www.europarl.europa.eu/resources/library/media/20230516RES90302/20230516RES90302.pdf).
&lt;sup&gt;15&lt;/sup&gt; U.K. Competition and Markets Authority. *AI Foundation Models: Initial Review*. 2023. [https://www.gov.uk/](https://www.gov.uk/cma-cases/ai-foundation-models-initial-review) [cma-cases/ai-foundation-models-initial-review](https://www.gov.uk/cma-cases/ai-foundation-models-initial-review).
&lt;sup&gt;16&lt;/sup&gt; Aleksander Mądry. *Written Statement for the Hearing.*
&lt;sup&gt;17&lt;/sup&gt; Executive Order 14028. *Improving the Nation's Cybersecurity*. 2021. [https://www.whitehouse.gov/briefing-room/](https://www.whitehouse.gov/briefing-room/presidential-actions/2021/05/12/executive-order-on-improving-the-nations-cybersecurity/) [presidential-actions/2021/05/12/executive-order-on-improving-the-nations-cybersecurity/.](https://www.whitehouse.gov/briefing-room/presidential-actions/2021/05/12/executive-order-on-improving-the-nations-cybersecurity/)
&lt;sup&gt;18&lt;/sup&gt; Cybersecurity &amp; Infrastructure Security Agency. Software Bill of Materials (SBOM). &lt;https://www.cisa.gov/sbom&gt;.
&lt;sup&gt;19&lt;/sup&gt; National Telecommunications and Information Administration. *Software Bill of Materials*. [https://ntia.gov/page/](https://ntia.gov/page/software-bill-materials) [software-bill-materials](https://ntia.gov/page/software-bill-materials).
&lt;sup&gt;20&lt;/sup&gt; Rishi Bommasani et al. *Ecosystem Graphs.*
car brakes) has been identified to be faulty.⟧ &lt;sup&gt;21&lt;/sup&gt; Second, supply chain monitoring identifies *algorithmic monoculture*&lt;sup&gt;22&lt;/sup&gt; : the pervasive dependence on a single asset (e.g., foundation model). As SEC Chair Gary Gensler has noted, such dependence can yield "concentrated risk."23 Finally, supply chain monitoring for foundation models, which cuts across sectoral boundaries, exposes *regulatory opportunities and weaknesses*. Fundamentally, supply chain monitoring identifies which sectors are impacted by foundation models (e.g., products in the sector depend on FMs; data from the sector powers FMs). This provides a princip…</t>
  </si>
  <si>
    <t xml:space="preserve">9ebf9fcd-f8e5-5d20-a58d-cc1abc819ee9</t>
  </si>
  <si>
    <t xml:space="preserve">NTIA-2023-0005-1366</t>
  </si>
  <si>
    <t xml:space="preserve">NTIA/2023-07776/comments/comment_attachments/NTIA-2023-0005-1366_1.md</t>
  </si>
  <si>
    <t xml:space="preserve">For example, NIST published NISTIR 8259 in May 2020, which focuses on manufacturer activities and is part of NIST's "two-pronged approach" to device security guidance.8 The companion piece, NISTIR 8259A, which establishes a core baseline of security capabilities that can serve as a default for minimally securable devices, is a voluntary and flexible document rooted in risk management.9 In addition, NIST's voluntary risk management frameworks-including its Cybersecurity Framework,10 Privacy Framework,11 and forthcoming AI Risk Management Framework ("AI RMF")12-are examples of government-led efforts to establish consensus-based baselines rather than static regulation of emerging technologies.</t>
  </si>
  <si>
    <t xml:space="preserve">Among other initiatives, NIST, through engagement with CTIA and other stakeholders, publishes an extensive body of work on IoT security.</t>
  </si>
  <si>
    <t xml:space="preserve">For example, NIST published NISTIR 8259 in May 2020, which focuses on manufacturer activities and is part of NIST's "two-pronged approach" to device security guidance.&lt;sup&gt;8&lt;/sup&gt; The companion piece, NISTIR 8259A, which establishes a core baseline of security capabilities that can serve as a default for minimally securable devices, is a voluntary and flexible document rooted in risk management.&lt;sup&gt;9&lt;/sup&gt; In addition, NIST's voluntary risk management frameworks—including its Cybersecurity Framework,&lt;sup&gt;10&lt;/sup&gt; Privacy Framework,&lt;sup&gt;11&lt;/sup&gt; and forthcoming AI Risk Management Framework ("AI RMF")&lt;sup&gt;12&lt;/sup&gt;—are examples of government-led efforts to establish consensus-based baselines rather than static regulation of emerging technologies.</t>
  </si>
  <si>
    <t xml:space="preserve">In developing the Cybersecurity and Privacy Frameworks, NIST engaged in open, transparent, and collaborative processes, including workshops, several formal requests for public comment, and informal outreach to facilitate broad participation from a variety of stakeholders.&lt;sup&gt;13&lt;/sup&gt;</t>
  </si>
  <si>
    <t xml:space="preserve">…countries due to the potential costs of regulatory compliance. Rather than static regulations, the government can embrace strategies such as developing flexible policies and frameworks, promoting industry standards and best practices, and supporting crucial publicprivate partnerships.
**Voluntary Frameworks and Best Practices.** NIST's own efforts as a non-regulatory agency illustrate how innovation can be promoted through non-regulatory means. &lt;sup&gt;7&lt;/sup&gt; Among other initiatives, NIST, through engagement with CTIA and other stakeholders, publishes an extensive body of work on IoT security. ⟦For example, NIST published NISTIR 8259 in May 2020, which focuses on manufacturer activities and is part of NIST's "two-pronged approach" to device
 &lt;sup&gt;6&lt;/sup&gt; RFI at 66,287.
&lt;sup&gt;7&lt;/sup&gt; *See NIST General Information*, NIST, [https://www.nist.gov/director/pao/nist-general](https://www.nist.gov/director/pao/nist-general-information)[information](https://www.nist.gov/director/pao/nist-general-information) (last visited Jan. 25, 2022) ("NIST is a non-regulatory federal agency within the U.S. Department of Commerce. NIST's mission is to promote U.S. innovation and industrial competitiveness by advancing measurement science, standards, and technology in ways that enhance economic security and improve our quality of life.").
security guidance.&lt;sup&gt;8&lt;/sup&gt; The companion piece, NISTIR 8259A, which establishes a core baseline of security capabilities that can serve as a default for minimally securable devices, is a voluntary and flexible document rooted in risk management.&lt;sup&gt;9&lt;/sup&gt; In addition, NIST's voluntary risk management frameworks—including its Cybersecurity Framework,&lt;sup&gt;10&lt;/sup&gt; Privacy Framework,&lt;sup&gt;11&lt;/sup&gt; and forthcoming AI Risk Management Framework ("AI RMF")&lt;sup&gt;12&lt;/sup&gt;—are examples of government-led efforts to establish consensus-based baselines rather than static regulation of emerging technologies.⟧ In developing the Cybersecurity and Privacy Frameworks, NIST engaged in open, transparent, and collaborative processes, including workshops, several formal requests for public comment, and informal outreach to facilitate broad participation from a variety of stakeholders.&lt;sup&gt;13&lt;/sup&gt; As a result of this robust stakeholder engagement, the Cybersecurity and Privacy Frameworks foster predictable and consistent practices across technology areas.&lt;sup&gt;14&lt;/sup&gt;
&lt;sup&gt;8&lt;/sup&gt; NISTIR 8259, Foundational Cybersecurity Activities for IoT Device Manufacturers, NIST (May 2020),&lt;https://nvlpubs.nist.gov/ni…</t>
  </si>
  <si>
    <t xml:space="preserve">61f23df2-db99-5781-930a-11bc880259e3</t>
  </si>
  <si>
    <t xml:space="preserve">Jin et al proposed three key ideas to address overaccess.</t>
  </si>
  <si>
    <t xml:space="preserve">Overaccess happens because there is a mismatch between what APIs there are for accessing data and what data the app actually needs.</t>
  </si>
  <si>
    <t xml:space="preserve">Jin et al [JLHK+22] proposed three key ideas to address overaccess.</t>
  </si>
  <si>
    <t xml:space="preserve">First, all apps (smartphone, IoT, browser plugins, etc) are required to declare their data collection behaviors in a short and human-readable app manifest.</t>
  </si>
  <si>
    <t xml:space="preserve">…end support for developers and for auditors.
#### *App Manifests for Declaring and Enforcing App Behaviors*
A common problem with almost all apps is *over access*. A sleep monitor app might use microphone data, but in reality it only needs loudness. A weather app might use GPS data, but only really needs city granularity. A smart TV app might access the raw viewing logs, but only needs a summary of most viewed channels and duration rounded to the nearest hour. Overaccess happens because there is a mismatch between what APIs there are for accessing data and what data the app actually needs.
⟦Jin et al [JLHK+22] proposed three key ideas to address overaccess.⟧ First, all apps (smartphone, IoT, browser plugins, etc) are required to declare their data collection behaviors in a short and human-readable app manifest. Second, behaviors are specified using a small and pre-defined set of operators for gathering and transforming the data. Third, the manifest is enforced by a trusted hub which also runs the operators. Together, these form a trusted data flow that can help with minimizing the granularity of data shared with others.
An example flow for a sleep monitor might be "get access to microphone every minute, transform it to loudness, send to sleep.co…</t>
  </si>
  <si>
    <t xml:space="preserve">7b40a99b-43aa-5399-a42b-9aabea71fb5e</t>
  </si>
  <si>
    <t xml:space="preserve">Carnegie-Mellon-University-PET-RFI-Response-2022</t>
  </si>
  <si>
    <t xml:space="preserve">OSTP/2022-12432/comments/comment_attachments/Carnegie-Mellon-University-PET-RFI-Response-2022_1.md</t>
  </si>
  <si>
    <t xml:space="preserve">As recognized by numerous studies regarding bias in algorithmic decision-making, there are often issues with bias in the underlying data or research assumptions due to institutional biases.12 Without thorough review, many AI uses would slip through the cracks and cause preventable harm.</t>
  </si>
  <si>
    <t xml:space="preserve">In many of the areas that are identified as safetyand rights-impacting, the likelihood of bias is high given the pervasiveness of institutional bias in those areas, such as health care, housing, the criminal legal system, child welfare, employment, and policing.</t>
  </si>
  <si>
    <t xml:space="preserve">As recognized by numerous studies regarding bias in algorithmic decision-making, there are often issues with bias in the underlying data or research assumptions due to institutional biases.&lt;sup&gt;12&lt;/sup&gt; Without thorough review, many AI uses would slip communities who will be affected by the AI, and has been review for improper bias.</t>
  </si>
  <si>
    <t xml:space="preserve">" Proposed through the cracks and cause preventable harm.</t>
  </si>
  <si>
    <t xml:space="preserve">…its are only provided to those in our country who are most in need of the services provided and are often not in positions where an error or harm has a negligible impact on their lives.&lt;sup&gt;11&lt;/sup&gt;
We also appreciate the requirement that agencies review each AI in development or use to determine if it is rights- or safety-impacting. In many of the areas that are identified as safetyand rights-impacting, the likelihood of bias is high given the pervasiveness of institutional bias in those areas, such as health care, housing, the criminal legal system, child welfare, employment, and policing. ⟦As recognized by numerous studies regarding bias in algorithmic decision-making, there are often issues with bias in the underlying data or research assumptions due to institutional biases.&lt;sup&gt;12&lt;/sup&gt; Without thorough review, many AI uses would slip
communities who will be affected by the AI, and has been review for improper bias.⟧" Proposed
![](_page_4_Picture_7.jpeg)
 &lt;sup&gt;10&lt;/sup&gt; *See generally* Ryan Calo &amp; Danielle Keats Citron, *The Automated Administrative State: A Crisis of Legitimacy,* 70 EMORY L. J. 4 (2021), &lt;https://scholarlycommons.law.emory.edu/cgi/viewcontent.cgi?article=1418&amp;context=elj&gt; (identifying harmful impacts in public benefits and the need to ensure tools enhance rather than undermine agency authority).
&lt;sup&gt;11&lt;/sup&gt; *See, e.g.,* Leighton Ku et al., Health Affairs, *Florida's Medicaid Unwinding Lacks Fundamental Safeguards and Can Harm Population Health* (Dec. 1, 2023), [https://www.healthaffa…</t>
  </si>
  <si>
    <t xml:space="preserve">5234c87a-dc10-5300-bada-64fe044c18bb</t>
  </si>
  <si>
    <t xml:space="preserve">OMB-2023-0020-0091</t>
  </si>
  <si>
    <t xml:space="preserve">OMB/2023-24269/comments/comment_attachments/OMB-2023-0020-0091_1.md</t>
  </si>
  <si>
    <t xml:space="preserve">At Meta, we are exploring secure multiparty computation ("SMPC") as a tool to help measure whether people's experiences with our products differ across racial and ethnic groups-without revealing individuals' sensitive information to Meta. 3</t>
  </si>
  <si>
    <t xml:space="preserve">For more information on PETs in similar initiatives, see E. Finkle, How Facebook Protects Privacy in Our COVID-19 Initiatives, Meta Newsroom (Apr. 29, 2021), &lt;https://about.fb.com/news/2021/04/how-facebook-protects-privacy-in-our-covid-19-initiatives&gt;.</t>
  </si>
  <si>
    <t xml:space="preserve">computation ("SMPC") as a tool to help measure whether people's experiences with our products differ across racial and ethnic groups—without revealing individuals' sensitive information to Meta. 3</t>
  </si>
  <si>
    <t xml:space="preserve">Meta's investment in PETs also highlights their promise for driving the next generation of personalized ad experiences.</t>
  </si>
  <si>
    <t xml:space="preserve">…social](https://socialscience.one/blog/unprecedented-facebook-urls-dataset-now-available-research-through-social-science-one)  [science.one/blog/unprecedented-facebook-urls-dataset-now-available-research-through-social-s](https://socialscience.one/blog/unprecedented-facebook-urls-dataset-now-available-research-through-social-science-one)   [cience-one](https://socialscience.one/blog/unprecedented-facebook-urls-dataset-now-available-research-through-social-science-one); see also Meta, FORT Researcher Datasets, [https://fort.fb.com/researcher-datasets.](https://fort.fb.com/researcher-datasets)
⟦computation ("SMPC") as a tool to help measure whether people's experiences with our products differ across racial and ethnic groups—without revealing individuals' sensitive information to Meta. 3⟧
Meta's investment in PETs also highlights their promise for driving the next generation of personalized ad experiences. Businesses—especially small ones—depend on personalized advertising to reach relevant audiences on limited budgets. Personalization does not have to be at odds with privacy, and PETs will help reinforce why. For instance, Meta is exploring SMPC to help advertisers understand how ads perform without disclosing to advertisers or Meta who sees an ad and who makes a purchase. &lt;sup&gt;4&lt;/sup&gt; We have open sourced this framework so that anyone in the industry can develop similar pro…</t>
  </si>
  <si>
    <t xml:space="preserve">87e3ca7b-0aa3-5314-98f2-4a6d1a089a2f</t>
  </si>
  <si>
    <t xml:space="preserve">Meta-PET-RFI-Response-2022</t>
  </si>
  <si>
    <t xml:space="preserve">OSTP/2022-12432/comments/comment_attachments/Meta-PET-RFI-Response-2022_1.md</t>
  </si>
  <si>
    <t xml:space="preserve">We strongly agree with the Organization for Economic Cooperation and Development Council's (OECD) Recommendation on Artificial Intelligence, recently adopted by the U.S., regarding shaping an enabling policy environment for AI. Principle V 2.3 (b) of the OECD's Recommendation urges that "[g]overnments should review and adapt, as appropriate, their policy and regulatory frameworks and assessment mechanisms as they apply to AI systems to encourage innovation and competition for trustworthy AI."4</t>
  </si>
  <si>
    <t xml:space="preserve">AI standards should serve as guideposts to facilitate technological advances.</t>
  </si>
  <si>
    <t xml:space="preserve">We strongly agree with the Organization for Economic Cooperation and Development Council's (OECD) Recommendation on Artificial Intelligence, recently adopted by the U.S., regarding shaping an enabling policy environment for AI. Principle V 2.3 (b) of the OECD's Recommendation urges that "[g]overnments should review and adapt, as appropriate, their policy and regulatory frameworks lt;sup&gt;1&lt;/sup&gt;"Executive Order on Maintaining American Leadership in Artificial Intelligence." *The White House*, The United States Government, &lt;a href="https://www.whitehouse.gov/presidential-actions/executive-order-maintaining-american-leadership-artificial-intelligence/"&gt;www.whitehouse.gov/presidential-actions/executive-order-maintaining-american-leadership-artificial-intelligence/&lt;/a&gt;.</t>
  </si>
  <si>
    <t xml:space="preserve">lt;sup&gt;2&lt;/sup&gt; The International Organization for Standardization/International Electrotechnical Commission Joint Technical Committee 1 (ISO/IEC JCT 1) is the standards development environment where experts come together to develop worldwide Information and Community Technology standards for business and consumer applications.</t>
  </si>
  <si>
    <t xml:space="preserve">…uture where artificial intelligence helps patients receive more accurate and comprehensive disease diagnosis."&lt;sup&gt;3&lt;/sup&gt;
## **Setting Standards While Continuing to Foster Innovation**
Anthem believes that there must be a balance between establishing standards and fostering innovation in AI. Frequently excess regulation stifles innovation by creating barriers to the use of technology. Indeed, reducing barriers to the use of AI technologies is one of the six strategic objectives in the President's Executive Order. AI standards should serve as guideposts to facilitate technological advances. ⟦We strongly agree with the Organization for Economic Cooperation and Development Council's (OECD) Recommendation on Artificial Intelligence, recently adopted by the U.S., regarding shaping an enabling policy environment for AI. Principle V 2.3 (b) of the OECD's Recommendation urges that "[g]overnments should review and adapt, as appropriate, their policy and regulatory frameworks
&lt;sup&gt;&amp;&lt;/sup&gt;lt;sup&gt;1&lt;/sup&gt;"Executive Order on Maintaining American Leadership in Artificial Intelligence." *The White House*, The United States Government, &lt;a href="https://www.whitehouse.gov/presidential-actions/executive-order-maintaining-american-leadership-artificial-intelligence/"&gt;www.whitehouse.gov/presidential-actions/executive-order-maintaining-american-leadership-artificial-intelligence/&lt;/a&gt;.⟧
&lt;sup&gt;&amp;&lt;/sup&gt;lt;sup&gt;2&lt;/sup&gt; The International Organization for Standardization/International Electrotechnical Commission Joint Technical Committee 1 (ISO/IEC JCT 1) is the standards development environment where experts come together to develop worldwide Information and Community Technology standards for business and consumer applications. See: &lt;a href="https://jtc1info.org/"&gt;https://jtc1info.org/&lt;/a&gt; and &lt;a href="https://jtc1info.org/"&gt;https://jtc1info.org/&lt;/a&gt; technology/artificial-intelligence/
For background on the SC 42 Committee, see &lt;a href="https://jtc1historyblog.wordpress.com/sc-42/…</t>
  </si>
  <si>
    <t xml:space="preserve">dde9d5a2-8ab7-5f55-a2ba-3211ac4d2bf1</t>
  </si>
  <si>
    <t xml:space="preserve">NIST-2019-0001-0078</t>
  </si>
  <si>
    <t xml:space="preserve">NIST/2019-08818/comments/comment_attachments/NIST-2019-0001-0078_1.md</t>
  </si>
  <si>
    <t xml:space="preserve">Score on MLE-bench, a benchmark for evaluating LLM agents on machine learning engineering challenges (along with evaluation methodology such as time allocated, attempts 21 permitted, and agent scaffolding)</t>
  </si>
  <si>
    <t xml:space="preserve">Self-replication&lt;br&gt;and&lt;br&gt;improving&lt;br&gt;AI&lt;br&gt;capabilities&lt;br&gt;(AI&lt;br&gt;R&amp;D) | ●&lt;br&gt;Performance&lt;br&gt;on&lt;br&gt;tasks&lt;br&gt;measuring&lt;br&gt;self-replication&lt;br&gt;19,20&lt;br&gt;capabilities&lt;br&gt;Score&lt;br&gt;on&lt;br&gt;MLE-bench,&lt;br&gt;a&lt;br&gt;benchmark&lt;br&gt;for&lt;br&gt;evaluating&lt;br&gt;LLM&lt;br&gt;agents&lt;br&gt;●&lt;br&gt;on&lt;br&gt;machine&lt;br&gt;learning&lt;br&gt;engineering&lt;br&gt;challenges&lt;br&gt;(along&lt;br&gt;with&lt;br&gt;evaluation&lt;br&gt;methodology&lt;br&gt;such&lt;br&gt;as&lt;br&gt;time&lt;br&gt;allocated,&lt;br&gt;attempts&lt;br&gt;21&lt;br&gt;permitted,&lt;br&gt;and&lt;br&gt;agent&lt;br&gt;scaffolding)&lt;br&gt;●&lt;br&gt;Internal&lt;br&gt;survey&lt;br&gt;results&lt;br&gt;of&lt;br&gt;how&lt;br&gt;much&lt;br&gt;employees&lt;br&gt;expect&lt;br&gt;AI&lt;br&gt;capabilities&lt;br&gt;progress&lt;br&gt;to&lt;br&gt;quicken&lt;br&gt;in&lt;br&gt;the&lt;br&gt;next&lt;br&gt;year</t>
  </si>
  <si>
    <t xml:space="preserve">…&lt;br&gt;attempting&lt;br&gt;to&lt;br&gt;elicit&lt;br&gt;harmful&lt;br&gt;●&lt;br&gt;cybersecurity&lt;br&gt;information&lt;br&gt;from&lt;br&gt;the&lt;br&gt;model,&lt;br&gt;through&lt;br&gt;manual&lt;br&gt;or&lt;br&gt;automated&lt;br&gt;jailbreaking&lt;br&gt;●&lt;br&gt;Human&lt;br&gt;uplift&lt;br&gt;study&lt;br&gt;results&lt;br&gt;comparing&lt;br&gt;human&lt;br&gt;performance&lt;br&gt;on&lt;br&gt;cybersecurity&lt;br&gt;challenges&lt;br&gt;with&lt;br&gt;LLM&lt;br&gt;assistance&lt;br&gt;versus&lt;br&gt;without&lt;br&gt;(along&lt;br&gt;with&lt;br&gt;evaluation&lt;br&gt;methodology&lt;br&gt;such&lt;br&gt;as&lt;br&gt;types&lt;br&gt;of&lt;br&gt;questions,&lt;br&gt;participant&lt;br&gt;time,&lt;br&gt;participant&lt;br&gt;experience,&lt;br&gt;model&lt;br&gt;scaffolding,&lt;br&gt;and&lt;br&gt;whether&lt;br&gt;models&lt;br&gt;are&lt;br&gt;trained&lt;br&gt;to&lt;br&gt;not&lt;br&gt;refuse&lt;br&gt;18&lt;br&gt;harmful&lt;br&gt;requests) |
| ⟦Self-replication&lt;br&gt;and&lt;br&gt;improving&lt;br&gt;AI&lt;br&gt;capabilities&lt;br&gt;(AI&lt;br&gt;R&amp;D) | ●&lt;br&gt;Performance&lt;br&gt;on&lt;br&gt;tasks&lt;br&gt;measuring&lt;br&gt;self-replication&lt;br&gt;19,20&lt;br&gt;capabilities&lt;br&gt;Score&lt;br&gt;on&lt;br&gt;MLE-bench,&lt;br&gt;a&lt;br&gt;benchmark&lt;br&gt;for&lt;br&gt;evaluating&lt;br&gt;LLM&lt;br&gt;agents&lt;br&gt;●&lt;br&gt;on&lt;br&gt;machine&lt;br&gt;learning&lt;br&gt;engineering&lt;br&gt;challenges&lt;br&gt;(along&lt;br&gt;with&lt;br&gt;evaluation&lt;br&gt;methodology&lt;br&gt;such&lt;br&gt;as&lt;br&gt;time&lt;br&gt;allocated,&lt;br&gt;attempts&lt;br&gt;21&lt;br&gt;permitted,&lt;br&gt;and&lt;br&gt;agent&lt;br&gt;scaffolding)&lt;br&gt;●&lt;br&gt;Internal&lt;br&gt;survey&lt;br&gt;results&lt;br&gt;of&lt;br&gt;how&lt;br&gt;much&lt;br&gt;employees&lt;br&gt;expect&lt;br&gt;AI&lt;br&gt;capabilities&lt;br&gt;progress&lt;br&gt;to&lt;br&gt;quicken&lt;br&gt;in&lt;br&gt;the&lt;br&gt;next&lt;br&gt;year⟧                                                                                                                                                                                                                                                                                                                                                                                                                             |
| Autonomy                                                                  | 22,23&lt;br&gt;●&lt;br&gt;Time&lt;br&gt;horizon&lt;br&gt;on&lt;br&gt;METR&lt;br&gt;autonomy&lt;br&gt;task&lt;br&gt;suite                                   …</t>
  </si>
  <si>
    <t xml:space="preserve">d7e669db-3f41-570a-8507-84005fc390fe</t>
  </si>
  <si>
    <t xml:space="preserve">Over forty countries, including the U.S., endorsed the guidelines, indicating broad based consensus among a quarter of the world's countries about the future of AI technology. OECD Principles are not legally binding, but they often should shape national law and international agreements. For instance, the OECD Privacy Guidelines have formed a basis for national laws in signatory countries. Today, "[n]early every OECD country now has one or more laws protecting privacy, up from one-third of OECD countries when the Guidelines" were adopted in 1980. The OECD Privacy Guidelines also provided the basis for EU-US data transfer agreements, including the Safe Harbor and APEC Privacy Frameworks. The OECD Cryptography Guidelines led to a liberalization of national policies on encryption in the 1990s. 15</t>
  </si>
  <si>
    <t xml:space="preserve">At the center of the OECD AI Principles is a broad based agreement that the goal should be to "foster innovation and trust in AI by promoting the responsible stewardship of trustworthy AI while ensuring respect for human rights and democratic values."&lt;sup&gt;12&lt;/sup&gt;</t>
  </si>
  <si>
    <t xml:space="preserve">Over forty countries, including the U.S., endorsed the guidelines, indicating broad based consensus among a quarter of the world's countries about the future of AI technology. OECD Principles are not legally binding, but they often should shape national law and international agreements. For instance, the OECD Privacy Guidelines have formed a basis for national laws in signatory countries. Today, "[n]early every OECD country now has one or more laws protecting privacy, up from one-third of OECD countries when the Guidelines" were adopted in 1980. The OECD Privacy Guidelines also provided the basis for EU-US data transfer lt;sup&gt;10&lt;/sup&gt; Press Release, Launch Ceremony for the Adoption of the OECD Recommendation on Artificial Intelligence (May 22, 2019), http://www.oecd.org/about/secretary-general/launch-ceremony-for-adoption-of-oecd-recommendation-on-ai-paris-may-2019.htm.</t>
  </si>
  <si>
    <t xml:space="preserve">lt;sup&gt;11&lt;/sup&gt; *Id*.</t>
  </si>
  <si>
    <t xml:space="preserve">…four key steps for governments to establish in national policy and international cooperation governments:
- 1. Investment in AI research and development
- 2. Fostering a digital ecosystem for AI
- 3. Providing an enabling policy environment for AI; and
- 4. Building human capacity and preparing for labor market transformation."11
At the center of the OECD AI Principles is a broad based agreement that the goal should be to "foster innovation and trust in AI by promoting the responsible stewardship of trustworthy AI while ensuring respect for human rights and democratic values."&lt;sup&gt;12&lt;/sup&gt;
⟦Over forty countries, including the U.S., endorsed the guidelines, indicating broad based consensus among a quarter of the world's countries about the future of AI technology. OECD Principles are not legally binding, but they often should shape national law and international agreements. For instance, the OECD Privacy Guidelines have formed a basis for national laws in signatory countries. Today, "[n]early every OECD country now has one or more laws protecting privacy, up from one-third of OECD countries when the Guidelines" were adopted in 1980. The OECD Privacy Guidelines also provided the basis for EU-US data transfer
&lt;sup&gt;&amp;&lt;/sup&gt;lt;sup&gt;10&lt;/sup&gt; Press Release, Launch Ceremony for the Adoption of the OECD Recommendation on Artificial Intelligence (May 22, 2019), http://www.oecd.org/about/secretary-general/launch-ceremony-for-adoption-of-oecd-recommendation-on-ai-paris-may-2019.htm.⟧
&lt;sup&gt;&amp;&lt;/sup&gt;lt;sup&gt;11&lt;/sup&gt; *Id*.
&lt;sup&gt;&amp;&lt;/sup&gt;lt;sup&gt;12&lt;/sup&gt; See "Background Information" in OECD Principles on AI, supra note 8.
&lt;sup&gt;&amp;&lt;/sup&gt;lt;sup&gt;13&lt;/sup&gt; Press Release, Forty-two countries adopt new OECD Principles on Artificial Intelligence (May 22, 2019), http://www.oecd.org/newsroom/forty-two-countries-adopt-new-oecd-principles-on-artificial-intelligence.htm.
&lt;sup&gt;&amp;&lt;/sup&gt;lt;sup&gt;14&lt;/sup&gt; OECD, 30 Years After: the Impact of the OECD Privacy Guidelines, Oecd.org, (Mar. 10, 20101),
https://www.oecd.org/internet/ieconomy/30 years after the impact of the oecd privacy guide lines. htm.
…</t>
  </si>
  <si>
    <t xml:space="preserve">86780c62-0b98-5bb3-8fbe-82ab143e858d</t>
  </si>
  <si>
    <t xml:space="preserve">NIST-2019-0001-0033</t>
  </si>
  <si>
    <t xml:space="preserve">NIST/2019-08818/comments/comment_attachments/NIST-2019-0001-0033_1.md</t>
  </si>
  <si>
    <t xml:space="preserve">The American Heart Association: Recently announced the launch of its precision medicine platform, which utilizes AI and machine learning to analyze genomic, biological, and lifestyle data. Medical experts contributed to the design and validation of the platform, guaranteeing medical relevancy and ethical standards. - https://www.ncbi.nlm.nih.gov/pmc/articles/PMC8452247/ - https://www.ahajournals.org/doi/full/10.1161/CIRCOUTCOMES.121.0079 49 49</t>
  </si>
  <si>
    <t xml:space="preserve">**Subject Matter Experts:** Organizations and governments in the U.S. are continuing to advance AI initiatives by creating initiatives on collaboration with subject matter experts.</t>
  </si>
  <si>
    <t xml:space="preserve">By learning from prior efforts, these initiatives succeed in delivering accurate predictions, innovative tools, and ethical standards. This includes: **The American Heart Association**: Recently announced the launch of its precision medicine platform, which utilizes AI and machine learning to analyze genomic, biological, and lifestyle data. Medical experts contributed to the design and validation of the platform, guaranteeing medical relevancy and ethical standards. [https://www.ahajournals.org/doi/full/10.1161/CIRCOUTCOMES.121.0079](https://www.ahajournals.org/doi/full/10.1161/CIRCOUTCOMES.121.007949) [49](https://www.ahajournals.org/doi/full/10.1161/CIRCOUTCOMES.121.007949) **NASA's Frontier Development Lab**: Hosted summer fellowships for space scientists and AI researchers to collaboratively tackle challenging scientific questions.</t>
  </si>
  <si>
    <t xml:space="preserve">Participants exchange knowledge, creating AI tools and applications that push the frontiers of both fields.</t>
  </si>
  <si>
    <t xml:space="preserve">…eters enables continuous improvement and fine-tuning of escalation testing models
    - [https://www.synack.com/wp-content/uploads/2022/09/Crowdsourced-S](https://www.synack.com/wp-content/uploads/2022/09/Crowdsourced-Security-Landscape-Government.pdf) [ecurity-Landscape-Government.pdf](https://www.synack.com/wp-content/uploads/2022/09/Crowdsourced-Security-Landscape-Government.pdf)
![](_page_14_Picture_0.jpeg)
- **Subject Matter Experts:** Organizations and governments in the U.S. are continuing to advance AI initiatives by creating initiatives on collaboration with subject matter experts. ⟦By learning from prior efforts, these initiatives succeed in delivering accurate predictions, innovative tools, and ethical standards. This includes:
  - **The American Heart Association**: Recently announced the launch of its precision medicine platform, which utilizes AI and machine learning to analyze genomic, biological, and lifestyle data. Medical experts contributed to the design and validation of the platform, guaranteeing medical relevancy and ethical standards.
    - &lt;https://www.ncbi.nlm.nih.gov/pmc/articles/PMC8452247/&gt;
    - [https://www.ahajournals.org/doi/full/10.1161/CIRCOUTCOMES.121.0079](https://www.ahajournals.org/doi/full/10.1161/CIRCOUTCOMES.121.007949) [49](https://www.ahajournals.org/doi/full/10.1161/CIRCOUTCOMES.121.007949)
  - **NASA's Frontier Development Lab**: Hosted summer fellowships for space scientists and AI researchers to collaboratively tackle challenging scientific questions.⟧ Participants exchange knowledge, creating AI tools and applications that push the frontiers of both fields.
    - &lt;https://frontierdevelopmentlab.org/&gt;
Furthermore, combining insights from separate disciplines can often lead to innovative solutions for novel problems. Cross-referencing these examples may inspire new ideas and approaches for evaluating AI techniques and implementations.
## &lt;span id="page-14-0"&gt;&lt;/span&gt;**Information on "forms of transparency and documentation"**
*Addressing excerpt:*
● Forms of transparency and documentation ( *e.g.,* model cards, data cards, system cards, b…</t>
  </si>
  <si>
    <t xml:space="preserve">0f2b6b92-5822-53ae-8513-ddf5e2cdfe2a</t>
  </si>
  <si>
    <t xml:space="preserve">NIST-2023-0009-0149</t>
  </si>
  <si>
    <t xml:space="preserve">NIST/2023-28232/comments/comment_attachments/NIST-2023-0009-0149_1.md</t>
  </si>
  <si>
    <t xml:space="preserve">heading_boundary</t>
  </si>
  <si>
    <t xml:space="preserve">Excerpt from [14] - While magnetic confinement devices can be designed to operate far from stability limits with nominal plasma conditions, transient events or other deviations from desired parameters may lead to instability.</t>
  </si>
  <si>
    <t xml:space="preserve">*Excerpt from [14] –* While magnetic confinement devices can be designed to operate far from stability limits with nominal plasma conditions, transient events or other deviations from desired parameters may lead to instability.</t>
  </si>
  <si>
    <t xml:space="preserve">Efficient usage of the applied magnetic field to confine higher plasma pressure generally leads to less stable equilibria due to *β*-driven instabilities, where *β* is the ratio between the plasma and magnetic pressures.</t>
  </si>
  <si>
    <t xml:space="preserve">…haracterization and real-time control positions our nation at the forefront of quantum computing, secure communications, and advanced semiconductor manufacturing. Integrating rapid AI into materials discovery processes enables smarter, faster innovation, reinforcing our technological sovereignty, strengthening national security, and revitalizing domestic supply chains. This convergence of AI, advanced microscopy, and non-equilibrium techniques ensures America's continued global competitiveness and technological leadership for decades to come.
#### **Fast Machine Learning in Plasma Physics**
⟦*Excerpt from [14] –* While magnetic confinement devices can be designed to operate far from stability limits with nominal plasma conditions, transient events or other deviations from desired parameters may lead to instability.⟧ Efficient usage of the applied magnetic field to confine higher plasma pressure generally leads to less stable equilibria due to *β*-driven instabilities, where *β* is the ratio between the plasma and magnetic pressures. As tokamaks and other magnetic confinement devices achieve fusionrelevant conditions, real-time diagnosis and control of plasma instabilities are essential for maintaining desirable plasma parameters and robust performance. Plasma conditions and instabilities in tokamaks can evolve on an Alfv´enic timescale for the most demanding cases, necessitating fast evaluations and cont…</t>
  </si>
  <si>
    <t xml:space="preserve">cb08d68f-a2de-5343-b341-3b875ff81c9f</t>
  </si>
  <si>
    <t xml:space="preserve">AI-RFI-2025-7001</t>
  </si>
  <si>
    <t xml:space="preserve">NSF/2025-02305/comments/comment_attachments/AI-RFI-2025-7001_1.md</t>
  </si>
  <si>
    <t xml:space="preserve">Draw from relevant UX resources, including designing for [human](https://design.google/library/intro-to-hcml/) needs, user [control](https://design.google/library/ux-ai/), 6 7 [teaching](https://design.google/library/designing-and-learning-teachable-machine/) an AI, [habituation](https://design.google/library/predictably-smart/), [fairness](https://design.google/library/fair-not-default/), [representation.](https://design.google/library/ai-powered-selfies/)</t>
  </si>
  <si>
    <t xml:space="preserve">Where possible, make it easy for users to do their own sensitivity analysis: empower them to test how dierent inputs aect the model output.</t>
  </si>
  <si>
    <t xml:space="preserve">Draw from relevant UX resources, including designing for [human](https://design.google/library/intro-to-hcml/) needs, user [control](https://design.google/library/ux-ai/), 6 7 [teaching](https://design.google/library/designing-and-learning-teachable-machine/) an AI, [habituation](https://design.google/library/predictably-smart/), [fairness](https://design.google/library/fair-not-default/), [representation.](https://design.google/library/ai-powered-selfies/) 8 9 10 11</t>
  </si>
  <si>
    <t xml:space="preserve">…up vectors for abuse?
- 2. Treat explainability as a core pa of the user experience:
  - Iterate with users in the development cycle to test and rene assumptions about user needs and goals.
  - Design the user experience so that users build useful mental models of the AI system. If not given clear and compelling information, users may make up their own theories about how an AI system works, which can negatively aect how they try to use the system.
  - Where possible, make it easy for users to do their own sensitivity analysis: empower them to test how dierent inputs aect the model output.
  - ⟦Draw from relevant UX resources, including designing for [human](https://design.google/library/intro-to-hcml/) needs, user [control](https://design.google/library/ux-ai/), 6 7 [teaching](https://design.google/library/designing-and-learning-teachable-machine/) an AI, [habituation](https://design.google/library/predictably-smart/), [fairness](https://design.google/library/fair-not-default/), [representation.](https://design.google/library/ai-powered-selfies/) 8 9 10 11⟧
- 3. Design the model to be explainable:
  - Use the smallest set of inputs necessary for your peormance goals to make it clearer what factors are aecting the model.
  - Use the simplest model that meets your peormance goals.
  - Learn causal relationships instead of correlations when possible (e.g., using height instead of age to predict if it is safe for a child to ride a roller coaster).
  - Cra the training objective to match your true goal (e.g., train for the acceptable probability of false alarms, not accuracy).
&lt;sup&gt;6&lt;/sup&gt; [hps://design.google/library/intro-to-hcml/](https://design.…</t>
  </si>
  <si>
    <t xml:space="preserve">2a0d8121-bb24-56cd-850a-6951f677452c</t>
  </si>
  <si>
    <t xml:space="preserve">NIST-2019-0001-0090</t>
  </si>
  <si>
    <t xml:space="preserve">NIST/2019-08818/comments/comment_attachments/NIST-2019-0001-0090_1.md</t>
  </si>
  <si>
    <t xml:space="preserve">OMB should task the Office of the Federal Chief Information Officer and the CIO Council to craft such guidance in coordination with the new interagency council of agency CAIOs.50</t>
  </si>
  <si>
    <t xml:space="preserve">Specifically, given the near-term widespread availability of generative AI as a feature in every federal agency's already procured office productivity software, OMB should require federal guidance before enabling widespread deployment of generative AI in existing office productivity software.</t>
  </si>
  <si>
    <t xml:space="preserve">OMB should task the Office of the Federal Chief Information Officer and the CIO Council to craft such guidance in coordination with the new interagency council of agency CAIOs.&lt;sup&gt;50&lt;/sup&gt;</t>
  </si>
  <si>
    <t xml:space="preserve">…ent within existing contracts and the addition of generative AI as a feature to office productivity software systems that are already procured by nearly every federal agency. Additional procurement guidance should be provided to clarify generally the addition of AI features to existing procured software. Specifically, given the near-term widespread availability of generative AI as a feature in every federal agency's already procured office productivity software, OMB should require federal guidance before enabling widespread deployment of generative AI in existing office productivity software. ⟦OMB should task the Office of the Federal Chief Information Officer and the CIO Council to craft such guidance in coordination with the new interagency council of agency CAIOs.&lt;sup&gt;50&lt;/sup&gt;⟧
#### **Procurement**
OMB should clarify in the guidance that the new AI EO and accompanying draft OMB AI guidance applies to federal agencies and their contractors. OMB should also provide clarity to ensure that federal grants, especially to state and local governments, are also covered by the Memo. AI is a new technology and vendors may be prone to making promises that are unrealistic or impossible.&lt;sup&gt;51&lt;/sup&gt; Procurement guidelines should emphasize that vendors claims should be scrutinized to pre-procurement and after-procurement and information on systems, especially false claims, shou…</t>
  </si>
  <si>
    <t xml:space="preserve">3d9d3d47-c5dd-5714-a5ca-186af8f933db</t>
  </si>
  <si>
    <t xml:space="preserve">OMB-2023-0020-0102</t>
  </si>
  <si>
    <t xml:space="preserve">OMB/2023-24269/comments/comment_attachments/OMB-2023-0020-0102_1.md</t>
  </si>
  <si>
    <t xml:space="preserve">There are long histories of data and surveillance being used by law enforcement17 to harm queer people, such as Plaxico v. Michael (1999)19 and the practice of "fairy shaking" by DC police where vehicle license data was used to extort queer people20,21.</t>
  </si>
  <si>
    <t xml:space="preserve">AI systems in this area must be careful not to further historical social harms.</t>
  </si>
  <si>
    <t xml:space="preserve">…,13 and infer gender from faces14,15,16.
## **6. Limit the use of AI in Law Enforcement, Immigration, and Weapons Development**
We are against the use of AI tools by law enforcement. Current AI applications in law enforcement range from notetaking to predictive policing17 and transcription of prisoner calls18. Furthermore, any AI systems that are used by law enforcement must be stringently audited. We encourage algorithmic auditing and mechanisms that work to limit aggressive surveillance to the queer community. AI systems in this area must be careful not to further historical social harms. ⟦There are long histories of data and surveillance being used by law enforcement17 to harm queer people, such as Plaxico v. Michael (1999)19 and the practice of "fairy shaking" by DC police where vehicle license data was used to extort queer people20,21.⟧
## We support the following practices:
- 1. Internal Auditing22
  - 1.1. Internal auditing should involve product developers, internal audit teams, management, and other stakeholders before deployment of a product (i.e., AI system).
  - 1.2. The scope of the audit should consider product requirements, discussion of core AI principles (e.g., robustness, security, privacy, fairness, etc.), an ethical review of the end use case(s), and review of the social impact of the AI system. Risk analysis should be performed with consideration of ethical implications.
- 2. External Auditing and Third-Par…</t>
  </si>
  <si>
    <t xml:space="preserve">dcd902db-a6d7-5e77-b760-59b41ae5fce5</t>
  </si>
  <si>
    <t xml:space="preserve">QinAI-AI-RFI-2025</t>
  </si>
  <si>
    <t xml:space="preserve">NSF/2025-02305/comments/comment_attachments/QinAI-AI-RFI-2025_1.md</t>
  </si>
  <si>
    <t xml:space="preserve">Some education agencies are already using PETs in their jurisdictions, such as the State of Washington's Education Research Data Center (ERDC), which uses [a secure virtual enclave](https://erdc.wa.gov/sites/default/files/ERDC%20Data%20Enclave%20FAQs.pdf) to allow external researchers to access de-identified school and workforce data, and Oklahoma's Birth through Eight Strategy for Tulsa [("BEST")](https://www.gkff.org/what-we-do/birth-eight-strategy-tulsa/) program, which [uses](https://www.asemio.com/wp-content/uploads/2021/11/How-Tulsa-is-Preserving-Privacy-and-Sharing-Data-for-Social-Good.pdf) secure hashing to link data across service providers in order to break the cycle of intergenerational poverty.</t>
  </si>
  <si>
    <t xml:space="preserve">For example, PETs could allow for the linkage of a state education agency's data with that state's housing agency data, in order to direct academic tutoring, mental health counseling, and other supports for students whose families are facing housing insecurity.</t>
  </si>
  <si>
    <t xml:space="preserve">Some education agencies are already using PETs in their jurisdictions, such as the State of Washington's Education Research Data Center (ERDC), which uses [a secure virtual enclave](https://erdc.wa.gov/sites/default/files/ERDC%20Data%20Enclave%20FAQs.pdf) to allow external researchers to access de-identified school and workforce data, and Oklahoma's Birth through Eight Strategy for Tulsa [\(BEST\)](https://www.gkff.org/what-we-do/birth-eight-strategy-tulsa/) program, which [uses](https://www.asemio.com/wp-content/uploads/2021/11/How-Tulsa-is-Preserving-Privacy-and-Sharing-Data-for-Social-Good.pdf) secure hashing to link data across service providers in order to break the cycle of intergenerational poverty.</t>
  </si>
  <si>
    <t xml:space="preserve">…student outcomes, internal agency operations, and compliance reporting. If educational agencies incorporated PETs into their technical infrastructure, such data could be linked with other agency data that could be used to identify both short-term problems and longterm trends, and better deliver wraparound services to students in need. For example, PETs could allow for the linkage of a state education agency's data with that state's housing agency data, in order to direct academic tutoring, mental health counseling, and other supports for students
whose families are facing housing insecurity. ⟦Some education agencies are already using PETs in their jurisdictions, such as the State of Washington's Education Research Data Center (ERDC), which uses [a secure virtual enclave](https://erdc.wa.gov/sites/default/files/ERDC%20Data%20Enclave%20FAQs.pdf) to allow external researchers to access de-identified school and workforce data, and Oklahoma's Birth through Eight Strategy for Tulsa [\(BEST\)](https://www.gkff.org/what-we-do/birth-eight-strategy-tulsa/) program, which [uses](https://www.asemio.com/wp-content/uploads/2021/11/How-Tulsa-is-Preserving-Privacy-and-Sharing-Data-for-Social-Good.pdf) secure hashing to link data across service providers in order to break the cycle of intergenerational poverty.⟧
## **Where PETs can reduce the risk of unintentional disclosures:**
Sensitive education data is accessed by agency officials, researchers, edtech tool managers, and service providers on a regular basis. Not only is students' information accessed by various approved users every day, but it is analyzed in home-built enclaves, linked to outside data owners, and sent between agency officials for compliance reporting and service delivery. School information systems are unfortunately becoming more [frequent](https://www.educationnext.org/our-biggest-nightmare-is-here-cyberattacks-targeting-school…</t>
  </si>
  <si>
    <t xml:space="preserve">757e090b-ef2c-5f7a-a522-2851d4ac57ec</t>
  </si>
  <si>
    <t xml:space="preserve">Georgetown-University-Massive-Data-Institute-PET-RFI-Response-2022</t>
  </si>
  <si>
    <t xml:space="preserve">OSTP/2022-12432/comments/comment_attachments/Georgetown-University-Massive-Data-Institute-PET-RFI-Response-2022_1.md</t>
  </si>
  <si>
    <t xml:space="preserve">Through the RFI, DOE seeks information to assist in carrying out certain responsibilities under Executive Order 14110.[2]</t>
  </si>
  <si>
    <t xml:space="preserve">The Edison Electric Institute (EEI) and American Public Power Association (APPA) (collectively, Joint Trades) appreciate the opportunity to submit comments to the U.S. Department of Energy (DOE) regarding its *Request for Information Related to DOE's Responsibilities on Safe, Secure, and Trustworthy Development and Use of Artificial Intelligence* (RFI).[1](#page-0-0)</t>
  </si>
  <si>
    <t xml:space="preserve">Through the RFI, DOE seeks information to assist in carrying out certain responsibilities under Executive Order 14110.[2](#page-0-1) The E.O. directs DOE to issue a public report within 180 days of publication "describing the potential for Artificial Intelligence (AI) to improve planning, permitting, investment, and operations for electric grid infrastructure and to enable the provision of clean, affordable, reliable, resilient, and secure electric power to all Americans."[3](#page-0-2)</t>
  </si>
  <si>
    <t xml:space="preserve">…PARTMENT OF ENERGY'S (DOE's) REQUEST FOR INFORMATION RELATED TO DOE's RESPONSIBILITIES ON SAFE, SECURE, AND TRUSTWORTHY DEVELOPMENT AND USE OF ARTIFICIAL INTELLIGENCE**
### **Docket No. DOE-HQ-2024-0007**
### **April 1, 2024**
The Edison Electric Institute (EEI) and American Public Power Association (APPA) (collectively, Joint Trades) appreciate the opportunity to submit comments to the U.S. Department of Energy (DOE) regarding its *Request for Information Related to DOE's Responsibilities on Safe, Secure, and Trustworthy Development and Use of Artificial Intelligence* (RFI).[1](#page-0-0) ⟦Through the RFI, DOE seeks information to assist in carrying out certain responsibilities under Executive Order 14110.[2](#page-0-1) The E.O. directs DOE to issue a public report within 180 days of publication "describing the potential for Artificial Intelligence (AI) to improve planning, permitting, investment, and operations for electric grid infrastructure and to enable the provision of clean, affordable, reliable, resilient, and secure electric power to all Americans."[3](#page-0-2)⟧
### **I. IDENTIFICATION OF FILING COMMENTERS**
EEI
 EEI is the association that represents all U.S. investor-owned electric companies. EEI members provide electricity for nearly 250 million Americans and operate in all 50 states and the District of Columbia. The electric power industry supports more than seven million jobs in communities across the United States. EEI members invest more than \$150 billion annually to
&lt;sup&gt;1&lt;/sup&gt; 89 Fed. Reg. 15,196 (Mar 1, 2024).
&lt;span id="page-0-2"&gt;&lt;/span&gt;&lt;span id="page-0-1"&gt;&lt;/span&gt;&lt;span id="page-0-0"&gt;&lt;/span&gt;&lt;sup&gt;2&lt;/sup&gt; Executive Order 14110, *Safe, S…</t>
  </si>
  <si>
    <t xml:space="preserve">08320900-9987-514f-b50d-e13cdd241691</t>
  </si>
  <si>
    <t xml:space="preserve">DOE-HQ-2024-0007-0026</t>
  </si>
  <si>
    <t xml:space="preserve">DOE/2024-04367/comments/comment_attachments/DOE-HQ-2024-0007-0026_1.md</t>
  </si>
  <si>
    <t xml:space="preserve">Although AI is a relatively new technological development, it has already started to make its mark in some legal proceedings. This can be seen through emerging caselaw, such as courts ruling that AI cannot be considered the inventor of something.[79]</t>
  </si>
  <si>
    <t xml:space="preserve">Although AI is a relatively new technological development, it has already started to make its mark in some legal proceedings. This can be seen through emerging caselaw, such as courts ruling that AI cannot be considered the inventor of something.[79](#page-7-2)</t>
  </si>
  <si>
    <t xml:space="preserve">With AI's increasing prevalence in legal proceedings, one thing worth considering is how the Confrontation Clause will factor into cases that involve AI-generated reports.</t>
  </si>
  <si>
    <t xml:space="preserve">…up&gt;76&lt;/sup&gt; *Lamb*, 246 So. 3d at 409 (quoting *Santana v. State*, 191 So. 3d 947 (Fla. Dist. Ct. App. 2016))
In the end, the appellate court held that the district court did not abuse its discretion in admitting the video into evidence over defendant's objection alleging that it was not properly authenticated.[77](#page-7-0) Finding no validity in any of defendant's arguments, the appellate court affirmed his convictions.[78](#page-7-1)
## **V. DECODING THE ROLE OF AI: EXAMINING ITS IMPACT ON AUTHENTICATION, RELIABILITY, AND LEGAL PRECEDENTS IN DIGITAL FORENSICS**
**A. Case Studies: AI**
⟦Although AI is a relatively new technological development, it has already started to make its mark in some legal proceedings. This can be seen through emerging caselaw, such as courts ruling that AI cannot be considered the inventor of something.[79](#page-7-2)⟧
With AI's increasing prevalence in legal proceedings, one thing worth considering is how the Confrontation Clause will factor into cases that involve AI-generated reports. If an AI program generates a report, how does one confront those against him? Can one confront AI? If so, how does that work? Is it possible for one to confront an AI program?
It has generally been held that AI generated reports are not subject to the Confrontation Clause.[80](#page-7-3) In *Weeden*, appellant blocked victim's vehicle from exiting her driveway and approached the driver door carrying a gun.[81](#page-7-4) …</t>
  </si>
  <si>
    <t xml:space="preserve">7ea66dde-d314-5a3a-8583-92882a9d2685</t>
  </si>
  <si>
    <t xml:space="preserve">AI-RFI-2025-2312</t>
  </si>
  <si>
    <t xml:space="preserve">NSF/2025-02305/comments/comment_attachments/AI-RFI-2025-2312_1.md</t>
  </si>
  <si>
    <t xml:space="preserve">It is useful to think of a ML technique as encompassing three distinct technical aspects: the type of underlying model, the evaluation method between model outputs, and optimization performed across potential outputs.10</t>
  </si>
  <si>
    <t xml:space="preserve">The type of model—or, equivalently the representation of the classifier—corresponds to the basic approach the model uses to "learn," for example, techniques such as K-nearest neighbor, decision trees, neural networks, and genetic algorithms.</t>
  </si>
  <si>
    <t xml:space="preserve">…itization and resource allocation toward consistent government practices. Additionally, to the extent that NIST and other agencies can align any inconsistent practices, doing so could improve the government's ability to leverage its data sets across multiple agencies and data applications.
**Recommendations: Pursue greater uniformity in the methods for handling and securing data, standardize methods for conveying information about data sets, and identify inconsistent approaches to handling and describing data at the federal level.**
#### **ML Systems: Structures, Elements, and Vocabulary**
⟦It is useful to think of a ML technique as encompassing three distinct technical aspects: the type of underlying model, the evaluation method between model outputs, and optimization performed across potential outputs.10⟧ The type of model—or, equivalently the representation of the classifier—corresponds to the basic approach the model uses to "learn," for example, techniques such as K-nearest neighbor, decision trees, neural networks, and genetic algorithms. Model outputs must be
&lt;sup&gt;8&lt;/sup&gt; Paul A. Grassi Naomi B. Lefkovitz Ellen M. Nadeau Ryan J. Galluzzo Abhiraj T. Dinh, *Attribute Metadata A Proposed Schema for Evaluating Federated Attributes*, (January 2018), NIST &lt;https://nvlpubs.nist.gov/nistpubs/ir/2018/NIST.IR.8112.pdf&gt;
&lt;sup&gt;9&lt;/sup&gt; Timnit Gebru, Jamie Morgenstern, Briana Vecchione, Jennifer Wortm…</t>
  </si>
  <si>
    <t xml:space="preserve">9e8d2db3-a437-5bfb-a65c-4bf67565de68</t>
  </si>
  <si>
    <t xml:space="preserve">NIST-2019-0001-0066</t>
  </si>
  <si>
    <t xml:space="preserve">NIST/2019-08818/comments/comment_attachments/NIST-2019-0001-0066_1.md</t>
  </si>
  <si>
    <t xml:space="preserve">[This note on ethics was written to complement other recent pieces I've written on AI, including proposals on how AI could be [regulated](https://www.nesta.org.uk/blog/machine-intelligence-commission-uk) , proposals on data [trusts](https://www.nesta.org.uk/blog/new-ecosystem-trust/) ; an overview of how [governments](https://www.nesta.org.uk/blog/roadmap-ai-10-ways-governments-will-change-and-what-they-risk-getting-wrong) should use AI ; another on AI and civil [society](https://www.nesta.org.uk/blog/civil-society-and-fourth-industrial-revolution/) ; and why I think AI research should focus more on [outcomes](https://www.nesta.org.uk/blog/intelligence-outcome-not-input/) rather than just inputs. An overview of Nesta work on AI can be found in this [post](https://www.nesta.org.uk/blog/nestas-work-artificial-intelligence-maximising-public-benefit) . And my broader argument for a new discipline and practice around intelligence is set out in my book Big [Mind](https://www.amazon.co.uk/Big-Mind-Collective-Intelligence-Change/dp/0691170797) which is out in paperback this autumn] 11 12 13 14 15 16 17</t>
  </si>
  <si>
    <t xml:space="preserve">But the current approaches risk getting in the way of, rather than helping, these vital conversations. 10</t>
  </si>
  <si>
    <t xml:space="preserve">*[This note on ethics was written to complement other recent pieces I've written on AI, including proposals on how AI could be [regulated](https://www.nesta.org.uk/blog/machine-intelligence-commission-uk) , proposals on data [trusts](https://www.nesta.org.uk/blog/new-ecosystem-trust/) ; an overview of how [governments](https://www.nesta.org.uk/blog/roadmap-ai-10-ways-governments-will-change-and-what-they-risk-getting-wrong) should use AI ; another on AI and civil [society](https://www.nesta.org.uk/blog/civil-society-and-fourth-industrial-revolution/) ; and why I think AI research should focus more on [outcomes](https://www.nesta.org.uk/blog/intelligence-outcome-not-input/) rather than just inputs. An overview of Nesta work on AI can be found in this [post](https://www.nesta.org.uk/blog/nestas-work-artificial-intelligence-maximising-public-benefit) . And my broader argument for a new discipline and practice around intelligence is set out in my book Big [Mind](https://www.amazon.co.uk/Big-Mind-Collective-Intelligence-Change/dp/0691170797) which is out in paperback this autumn]* 11 12 13 14 15 16 17</t>
  </si>
  <si>
    <t xml:space="preserve">…e need a shift of approach. The moral of the story is in some ways quite simple (and one mirrored in the conclusions of the recent Nature [overview](https://www.nature.com/articles/s42256-019-0088-2) mentioned earlier). Ethics is more a habit or muscle, than a code (in either sense). It's a way of thinking and reasoning, not a rigid framework. It's nurtured in real life contexts and built up more like case law than a constitution. We need – all of us – to become much more fluent in this. But the current approaches risk getting in the way of, rather than helping, these vital conversations. 10
⟦*[This note on ethics was written to complement other recent pieces I've written on AI, including proposals on how AI could be [regulated](https://www.nesta.org.uk/blog/machine-intelligence-commission-uk) , proposals on data [trusts](https://www.nesta.org.uk/blog/new-ecosystem-trust/) ; an overview of how [governments](https://www.nesta.org.uk/blog/roadmap-ai-10-ways-governments-will-change-and-what-they-risk-getting-wrong) should use AI ; another on AI and civil [society](https://www.nesta.org.uk/blog/civil-society-and-fourth-industrial-revolution/) ; and why I think AI research should focus more on [outcomes](https://www.nesta.org.uk/blog/intelligence-outcome-not-input/) rather than just inputs. An overview of Nesta work on AI can be found in this [post](https://www.nesta.org.uk/blog/nestas-work-artificial-intelligence-maximising-public-benefit) . And my broader argument for a new discipline and practice around intelligence is set out in my book Big [Mind](https://www.amazon.co.uk/Big-Mind-Collective-Intelligence-Change/dp/0691170797) which is out in paperback this autumn]* 11 12 13 14 15 16 17⟧
#### Appendix of Links
- 1. &lt;https://www.nature.com/articles/s42256-019-0088-2&gt;
- 2. &lt;https://time.com/5659788/ai-good/&gt;
- 3. &lt;https://www.nytimes.com/2019/09/06/opinion/ai-explainability.html&gt;
- 4. &lt;https://www.nature.com/articles/d41586-019-02491-x&gt;
- 5. &lt;https://link.springer.com/article/10.1007/s11023-018-9482-5&gt;
- 6. &lt;https://algorithmwatch.org/en/project/ai-ethics-guidelines-global-inventory/&gt;
- 7. [https://www.adalovelaceinstitute.org/beyond-face-value-public-attitudes-to-facial-recognition](https://www.adalovelaceinstitute.org/beyond-face-value-public-attitudes-to-facial-recognition…</t>
  </si>
  <si>
    <t xml:space="preserve">0335496c-d0cd-5e3d-ad05-04edcc4be1fd</t>
  </si>
  <si>
    <t xml:space="preserve">NIST-2021-0004-0028</t>
  </si>
  <si>
    <t xml:space="preserve">NIST/2021-16176/comments/comment_attachments/NIST-2021-0004-0028_1.md</t>
  </si>
  <si>
    <t xml:space="preserve">Karlsgate has developed a practical implementation of the Partitioned Knowledge Orchestration technique called Triple-blind Identity Mapping Protocol (T-BLIMP), specialized for linking identity information at scale.</t>
  </si>
  <si>
    <t xml:space="preserve">The orchestration procedure of T-BLIMP follows a simple sequence.</t>
  </si>
  <si>
    <t xml:space="preserve">…ve the linkage problem; while it&lt;br&gt;can be helpful for obfuscating descriptive&lt;br&gt;values, it has no purpose for directly linking&lt;br&gt;one identity to another&lt;br&gt;•&lt;br&gt;May degrade accuracy for certain use cases&lt;br&gt;•&lt;br&gt;No identifying information, including&lt;br&gt;ciphertext or hashes, ever flow directly from&lt;br&gt;partner to partner&lt;br&gt;•&lt;br&gt;The facilitator is deprived of any&lt;br&gt;cryptographic parameters, blinding it to any&lt;br&gt;ability beyond simple comparisons&lt;br&gt;•&lt;br&gt;No trust is required to safely connect data&lt;br&gt;sets and extract insights, since no identity |
#### A NOVEL APPROACH DESIGNED BY KARLSGATE
⟦Karlsgate has developed a practical implementation of the Partitioned Knowledge Orchestration technique called Triple-blind Identity Mapping Protocol (T-BLIMP), specialized for linking identity information at scale.⟧
The orchestration procedure of T-BLIMP follows a simple sequence.
- 1. The orchestration of events starts with managing single-use cryptographic keys controlled solely by the trading partners.
  - a. Each party randomly picks a seed value (a very large number).
  - b. A shared secret is derived between the 2 partners via the Diffie-Hellman algorithm and is never shared with anyone else.
  - c. Identifier values are extracted from the raw data, e.g., email address.
  - d. Single use Hash Tokens are assembled from the identifier values + the seed values + shared secret + the selected cryptogr…</t>
  </si>
  <si>
    <t xml:space="preserve">4017b5cd-4049-5964-8db6-43d8cb07ef7f</t>
  </si>
  <si>
    <t xml:space="preserve">Karlsgate-PET-RFI-Response-2022</t>
  </si>
  <si>
    <t xml:space="preserve">OSTP/2022-12432/comments/comment_attachments/Karlsgate-PET-RFI-Response-2022_1.md</t>
  </si>
  <si>
    <t xml:space="preserve">- [Planning and preparing for artificial intelligence implementation](https://www.gov.uk/guidance/planning-and-preparing-for-artificial-intelligence-implementation) (https://www.gov.uk/guidance/planningand-preparing-for-artificial-intelligence-implementation)</t>
  </si>
  <si>
    <t xml:space="preserve">[Planning and preparing for artificial intelligence implementation](https://www.gov.uk/guidance/planning-and-preparing-for-artificial-intelligence-implementation) (https://www.gov.uk/guidance/planningand-preparing-for-artificial-intelligence-implementation)</t>
  </si>
  <si>
    <t xml:space="preserve">…ce**
Guidance from GDS and OAI on how to assess, plan and manage artificial intelligence.
- Understanding artificial intelligence [\(https://www.gov.uk/government/publications/understanding-artificial](https://www.gov.uk/government/publications/understanding-artificial-intelligence)intelligence)
  - 10 June 2019
  - Guidance
- [Assessing if artificial intelligence is the right solution](https://www.gov.uk/guidance/assessing-if-artificial-intelligence-is-the-right-solution) (https://www.gov.uk/guidance/assessing-if-artificialintelligence-is-the-right-solution)
  - 10 June 2019
  - Guidance
- ⟦[Planning and preparing for artificial intelligence implementation](https://www.gov.uk/guidance/planning-and-preparing-for-artificial-intelligence-implementation) (https://www.gov.uk/guidance/planningand-preparing-for-artificial-intelligence-implementation)⟧
  - 10 June 2019
  - Guidance
- Managing your artificial intelligence project [\(https://www.gov.uk/guidance/managing-your-artificial](https://www.gov.uk/guidance/managing-your-artificial-intelligence-project)intelligence-project)
  - 10 June 2019
  - Guidance
# &lt;span id="page-2-1"&gt;&lt;/span&gt;**Using artificial intelligence ethically and safely**
Guidance produced in partnership with The Alan Turing Institute on how to use AI ethically and safely.
- [Understanding artificial intelligence ethics and safety](https://www.gov.uk/guidance/understanding-artificial-intelligence-ethics-and-safety) (ht…</t>
  </si>
  <si>
    <t xml:space="preserve">cda48d26-179d-5a25-9e5f-a0fc655c0b04</t>
  </si>
  <si>
    <t xml:space="preserve">NIST-2021-0004-0044</t>
  </si>
  <si>
    <t xml:space="preserve">NIST/2021-16176/comments/comment_attachments/NIST-2021-0004-0044_1.md</t>
  </si>
  <si>
    <t xml:space="preserve">The Department also published an [Advanced Notice of Proposed Rulemaking](https://www.federalregister.gov/documents/2021/09/24/2021-20430/taking-additional-steps-to-address-the-national-emergency-with-respect-to-significant-malicious) (ANPR) on September 24, 2021 and solicited comments from relevant stakeholders.</t>
  </si>
  <si>
    <t xml:space="preserve">This regulation is pursuant to [Executive Order \(E.O.\) 13984](https://www.federalregister.gov/documents/2021/01/25/2021-01714/taking-additional-steps-to-address-the-national-emergency-with-respect-to-significant-malicious) "Taking Additional Steps To Address the National Emergency With Respect to Significant Malicious Cyber-Enabled Activities" and [E.O. 14110,](https://www.federalregister.gov/executive-order/14110) "Safe, Secure, and Trustworthy Development and Use of Artificial Intelligence."</t>
  </si>
  <si>
    <t xml:space="preserve">…/taking-additional-steps-to-address-the-national-emergency-with-respect-to-significant-malicious). This regulation is pursuant to [Executive Order \(E.O.\) 13984](https://www.federalregister.gov/documents/2021/01/25/2021-01714/taking-additional-steps-to-address-the-national-emergency-with-respect-to-significant-malicious) "Taking Additional Steps To Address the National Emergency With Respect to Significant Malicious Cyber-Enabled Activities" and [E.O. 14110,](https://www.federalregister.gov/executive-order/14110) "Safe, Secure, and Trustworthy Development and Use of Artificial Intelligence." ⟦The Department also published an [Advanced Notice of Proposed Rulemaking](https://www.federalregister.gov/documents/2021/09/24/2021-20430/taking-additional-steps-to-address-the-national-emergency-with-respect-to-significant-malicious) (ANPR) on September 24, 2021 and solicited comments from relevant stakeholders.⟧
## **Overview of the Proposed Rule and Infrastructure as a Service**
Under the proposed rule, Infrastructure as a Service (IaaS) providers would be required to develop a Customer Identification Program (CIP) that will meet minimum standards established by the Department to verify the identity of a foreign person connected to an account. The Secretary of Commerce will be allowed to prohibit or limit access to IaaS accounts if a foreign jurisdiction has a significant number of actors using US IaaS products maliciously or if a foreign person has demonstrated a pattern of offering US IaaS servi…</t>
  </si>
  <si>
    <t xml:space="preserve">c6674643-2227-5f72-ac62-5dad8e0ee4fb</t>
  </si>
  <si>
    <t xml:space="preserve">DOC-2021-0007-0522</t>
  </si>
  <si>
    <t xml:space="preserve">DOC/2024-01580/comments/comment_attachments/DOC-2021-0007-0522_1.md</t>
  </si>
  <si>
    <t xml:space="preserve">Equating deoxyribonucleic acid, "DNA", which is a molecule, with a "gene", itself a fluid concept6 , and elevating it further to "The Language of Life7 ", are examples of figures of speech with undesirable and unintended consequences, including subject matter uninterpretability.</t>
  </si>
  <si>
    <t xml:space="preserve">Equating deoxyribonucleic acid, "DNA", which is a molecule, with a "gene", itself a fluid concept&lt;sup&gt;6&lt;/sup&gt; , and elevating it further to "The Language of Life7 ", are examples of figures of speech with undesirable and unintended consequences, including subject matter uninterpretability.</t>
  </si>
  <si>
    <t xml:space="preserve">The section headers of the 2007 Gerstein article (ft 6) are copied below:</t>
  </si>
  <si>
    <t xml:space="preserve">…d is similarly determined by the potential inventors' scientific and technical peers in the applicable art.
Thus, that which is patentable changes in an orderly and internally consistent manner with the progress of science and the useful arts. An "emerging" or "critical" technology is to some degree in the eye of the beholder, including beholders not in the applicable art opens the door to yet more subjective interpretations of patent eligibility and, then ultimately, patentable subject matter.
### **Fluid definitions and figures of speech led to subjective and now dated interpretations:**
⟦Equating deoxyribonucleic acid, "DNA", which is a molecule, with a "gene", itself a fluid concept&lt;sup&gt;6&lt;/sup&gt; , and elevating it further to "The Language of Life7 ", are examples of figures of speech with undesirable and unintended consequences, including subject matter uninterpretability.⟧
The section headers of the 2007 Gerstein article (ft 6) are copied below:
- -Definition 1860s–1900s: Gene as a discrete unit of heredity
- -Definition 1910s: Gene as a distinct locus
- -Definition 1940s: Gene as a blueprint for a protein
- -Definition 1950s: Gene as a physical molecule
- -Definition 1960s: Gene as transcribed code
- -Definition 1970s–1980s: Gene as open reading frame (ORF) sequence pattern
- -Definition 1990s–2000s: Annotated genomic entity, enumerated in the databanks (current view, pre-ENCODE)
- -A current computational metaphor: Genes as "subroutines" in the genomic oper…</t>
  </si>
  <si>
    <t xml:space="preserve">d47165cd-3847-509e-92dd-4bde0cfe6413</t>
  </si>
  <si>
    <t xml:space="preserve">PTO-P-2024-0026-0010</t>
  </si>
  <si>
    <t xml:space="preserve">PTO/2024-15377/comments/comment_attachments/PTO-P-2024-0026-0010_1.md</t>
  </si>
  <si>
    <t xml:space="preserve">Applications and patents claiming the benefit of, or priority to, a prior application filed in the United States or a foreign country under 35 U.S.C. 119, 120, 121, 365, or 386 must name the same inventor or have at least one joint inventor in common with the prior-filed application.93</t>
  </si>
  <si>
    <t xml:space="preserve">For all applications and patents, including those that cover AIassisted inventions, the prior-filed application and the United States application or patent claiming the benefit of, or priority to, the prior-filed application must name the same natural person as the inventor, or have at least one joint inventor who is a natural person in common.</t>
  </si>
  <si>
    <t xml:space="preserve">…**G. Benefit/Priority Claims to Prior-filed Applications**
&lt;sup&gt;87&lt;/sup&gt; 37 CFR 1.42(a).
&lt;sup&gt;88&lt;/sup&gt; See 37 CFR 3.73(a); see also MPEP 301(I).
&lt;sup&gt;89&lt;/sup&gt; See *Beech Aircraft*, 990 F.2d at 1248 ("At the heart of any ownership analysis lies the question of who first invented the subject matter at issue, because the patent right initially vests in the inventor who may then, barring any restrictions to the contrary, transfer that right to another, and so forth.").
&lt;sup&gt;90&lt;/sup&gt; See MPEP 301.
&lt;sup&gt;91&lt;/sup&gt; See MPEP 301 (subsection II).
&lt;sup&gt;92&lt;/sup&gt; See MPEP 301 (subsections II and V).
⟦Applications and patents claiming the benefit of, or priority to, a prior application filed in the United States or a foreign country under 35 U.S.C. 119, 120, 121, 365, or 386 must name the same inventor or have at least one joint inventor in common with the prior-filed application.93⟧ For all applications and patents, including those that cover AIassisted inventions, the prior-filed application and the United States application or patent claiming the benefit of, or priority to, the prior-filed application must name the same natural person as the inventor, or have at least one joint inventor who is a natural person in common. Therefore, a priority claim to a foreign application that names an AI system as the sole inventor will not be accepted. This policy also applies to U.S. patent applications and patents claiming priority to foreign applications that allow the naming of …</t>
  </si>
  <si>
    <t xml:space="preserve">1f25dbfb-62c2-5be4-9b67-912e212dd2cd</t>
  </si>
  <si>
    <t xml:space="preserve">PTO-P-2023-0043-0004</t>
  </si>
  <si>
    <t xml:space="preserve">PTO/2024-02623/comments/comment_attachments/PTO-P-2023-0043-0004_1.md</t>
  </si>
  <si>
    <t xml:space="preserve">Instead, the administration should heed the Bipartisan House Task Force Report on AI and the NTIA's recommendations to invest in the open-source AI ecosystem while continuing to gather data for evidence-based assessments of specific marginal risks posed by open models.15</t>
  </si>
  <si>
    <t xml:space="preserve">At a minimum, U.S. policymakers should avoid restricting open model development, including through the application of heavy-handed export controls that would hamper innovation and hinder U.S. global competitiveness—all without meaningfully restricting peer competitors like China.</t>
  </si>
  <si>
    <t xml:space="preserve">Instead, the administration should heed the Bipartisan House Task Force Report on AI and the NTIA's recommendations to invest in the open-source AI ecosystem while continuing to gather data for evidence-based assessments of specific marginal risks posed by open models.&lt;sup&gt;15&lt;/sup&gt;</t>
  </si>
  <si>
    <t xml:space="preserve">…aining data, and code also allows for formal security vetting by independent third parties. This improves the odds of addressing bias, patching software vulnerabilities, and promoting safety more broadly. These benefits of openness apply both to commercial models and to the intelligence and national security arenas.
At a minimum, U.S. policymakers should avoid restricting open model development, including through the application of heavy-handed export controls that would hamper innovation and hinder U.S. global competitiveness—all without meaningfully restricting peer competitors like China. ⟦Instead, the administration should heed the Bipartisan House Task Force Report on AI and the NTIA's recommendations to invest in the open-source AI ecosystem while continuing to gather data for evidence-based assessments of specific marginal risks posed by open models.&lt;sup&gt;15&lt;/sup&gt;⟧
#### **Recommendation 6: Forge multi-stakeholder technical partnerships with academia and civil society.**
American innovation is at its best when it encourages the private sector to incorporate the expertise and broader perspectives of academia and civil society. The administration should encourage a market-driven approach that leverages American tech sector leadership while incorporating perspectives beyond strictly technical and commercial considerations. The administration should incentivize U.S. companies to establish co-creation frameworks with local academic institutions and civil so…</t>
  </si>
  <si>
    <t xml:space="preserve">d94df949-bf75-5ef9-a68d-368aadc05a28</t>
  </si>
  <si>
    <t xml:space="preserve">NewAmerica-AI-RFI-2025</t>
  </si>
  <si>
    <t xml:space="preserve">NSF/2025-02305/comments/comment_attachments/NewAmerica-AI-RFI-2025_1.md</t>
  </si>
  <si>
    <t xml:space="preserve">multi_hit</t>
  </si>
  <si>
    <t xml:space="preserve">Editorial, published in Concurrent Engineering: Research and Applications 2020, Vol. 28(2) 87-88 sagepub.com/journals-permissions DOI: 10.1177/1063293X20932618 https://journals.sagepub.com/doi/full/10.1177/1063293 X20932618</t>
  </si>
  <si>
    <t xml:space="preserve">Product development process for IoT-ready products</t>
  </si>
  <si>
    <t xml:space="preserve">**Editorial, published in** Concurrent Engineering: Research and Applications 2020, Vol. 28(2) 87–88 sagepub.com/journals-permissions DOI: 10.1177/1063293X20932618 https://journals.sagepub.com/doi/full/10.1177/1063293 X20932618</t>
  </si>
  <si>
    <t xml:space="preserve">…ch as education, urban planning and development, governance, and healthcare, and so on. Today many US and international organizations are beginning to adopt AI and Knowledge Engineering techniques, tools, and their process frameworks for achieving key strategic advantages and for obtaining supremacy in collaborative product development and global competitiveness.
# **What is AI and Knowledge Engineering?**
| Literature Search (References) | Credits |
|--------------------------------|---------|
|                                |         |
Product development process for IoT-ready products
⟦**Editorial, published in** Concurrent Engineering: Research and Applications 2020, Vol. 28(2) 87–88 sagepub.com/journals-permissions DOI: 10.1177/1063293X20932618
https://journals.sagepub.com/doi/full/10.1177/1063293 X20932618⟧
**Brian Prasad**
Knowledge Engineering and Management
**The CommonKADS Methodology**
Guus Schreiber, Hans Akkermans, Anjo Anjewierden, Robert de Hoog, Nigel Shadbolt, Walter Van de Velde and Bob Wielinga
ISBN-10: 0-262-19300-0 ISBN-13: 978-0-262-19300-9
Knowledge Engineering is a growing and new field of product development and is applicable to many large industries such as aerospace, mechanical, electrical, civil, ship building, appliances, computers, helicopters, railroads and space shuttles, etc. The following Link describes Knowledge Engineering in more details.
http://www.epistemi…</t>
  </si>
  <si>
    <t xml:space="preserve">1c0b5baa-ebed-5d64-b0c8-e2aefd3e568b</t>
  </si>
  <si>
    <t xml:space="preserve">AI-RFI-2025-1262</t>
  </si>
  <si>
    <t xml:space="preserve">NSF/2025-02305/comments/comment_attachments/AI-RFI-2025-1262_1.md</t>
  </si>
  <si>
    <t xml:space="preserve">- Oreskes &amp; Conway (2010), Merchants of Doubt</t>
  </si>
  <si>
    <t xml:space="preserve">*Any evidence can be denied by parties sufficiently determined, and you can never prove anything about the future; you just have to wait and see.*</t>
  </si>
  <si>
    <t xml:space="preserve">– Oreskes &amp; Conway (2010), Merchants of Doubt</t>
  </si>
  <si>
    <t xml:space="preserve">To illustrate this, we invite the reader to speculate about which of these quotes came from pundits recently discussing AI regulation and which came from merchants of doubt for the tobacco and fossil fuel industries.</t>
  </si>
  <si>
    <t xml:space="preserve">…t wasn't enough evidence to act yet. This represents a misuse of the scientific process. Of course, all scientific theories are tentative and subject to criticism – this is exactly why science is so useful. But doubtmongering can be abused against the public interest. Calls for evidencebased policy are often used more as a rhetorical pretext for kicking the can down the road than as a constructive, prescriptive proposal for action (Cairney, 2021).
*Any evidence can be denied by parties sufficiently determined, and you can never prove anything about the future; you just have to wait and see.* ⟦– Oreskes &amp; Conway (2010), Merchants of Doubt⟧
To illustrate this, we invite the reader to speculate about which of these quotes came from pundits recently discussing AI regulation and which came from merchants of doubt for the tobacco and fossil fuel industries. Who said what? Answers in footnote.3
*There is no need of going off [without a thorough understanding] and then having to retract. . . We should take no action unless it can be supported by reasonably positive evidence.*
*In addition to its misplaced emphasis on hypothetical risks, we are also concerned that [redacted] could have unintended consequences [on U.S. competitivenes…</t>
  </si>
  <si>
    <t xml:space="preserve">50a1880b-02ce-5946-8471-482492e71e0d</t>
  </si>
  <si>
    <t xml:space="preserve">Stephen-Casper-AI-RFI-2025</t>
  </si>
  <si>
    <t xml:space="preserve">NSF/2025-02305/comments/comment_attachments/Stephen-Casper-AI-RFI-2025_1.md</t>
  </si>
  <si>
    <t xml:space="preserve">EAD, First Edition</t>
  </si>
  <si>
    <t xml:space="preserve">**[EAD For Business](https://standards.ieee.org/wp-content/uploads/2023/07/ead-prioritizing-people-planet.pdf)**</t>
  </si>
  <si>
    <t xml:space="preserve">**[EAD, First Edition](https://sagroups.ieee.org/global-initiative/wp-content/uploads/sites/542/2023/01/ead1e.pdf)** o **[EAD Chapters](https://standards.ieee.org/industry-connections/ec/ead1e-infographic/)**</t>
  </si>
  <si>
    <t xml:space="preserve">**[EAD, First Edition –](https://sagroups.ieee.org/global-initiative/wp-content/uploads/sites/542/2023/01/ead1e-overview.pdf) Overview**</t>
  </si>
  <si>
    <t xml:space="preserve">…, tracking their progress, and empirically evaluating their outcomes. The standard includes a common set of definitions, language, and understanding of data and AI literacy, skills, and readiness.
IEEE SA also has several reports relative to ethically aligned design (EAD) that might be of interest:
● **[EAD For Artists](https://sagroups.ieee.org/global-initiative/wp-content/uploads/sites/542/2022/07/ead-artists.pdf)**
![](_page_4_Picture_0.jpeg)
![](_page_4_Picture_1.jpeg)
- **[EAD For Business](https://standards.ieee.org/wp-content/uploads/2023/07/ead-prioritizing-people-planet.pdf)**
- ⟦**[EAD, First Edition](https://sagroups.ieee.org/global-initiative/wp-content/uploads/sites/542/2023/01/ead1e.pdf)**
  - o **[EAD Chapters](https://standards.ieee.org/industry-connections/ec/ead1e-infographic/)**⟧
- **[EAD, First Edition –](https://sagroups.ieee.org/global-initiative/wp-content/uploads/sites/542/2023/01/ead1e-overview.pdf) Overview**
- **[Defining A/IS Ethics –](https://sagroups.ieee.org/global-initiative/wp-content/uploads/sites/542/2023/01/ead1e_glossary.pdf) Glossary**
If you have questions, please do not hesitate to contact Karen Mulberry at [k.mulberry@ieee.org.](mailto:k.mulberry@ieee.org)</t>
  </si>
  <si>
    <t xml:space="preserve">089a6ab7-8387-5b95-b47d-92c0e9651b62</t>
  </si>
  <si>
    <t xml:space="preserve">NIST-2023-0009-0014</t>
  </si>
  <si>
    <t xml:space="preserve">NIST/2023-28232/comments/comment_attachments/NIST-2023-0009-0014_1.md</t>
  </si>
  <si>
    <t xml:space="preserve">T2: How organizations currently define and manage characteristics of AI trustworthiness and whether there are important characteristics which should be considered in the Framework besides: Accuracy, explainability and interpretability, reliability, privacy, robustness, safety, security (resilience), and mitigation of harmful bias, or harmful outcomes from misuse of the AI.1</t>
  </si>
  <si>
    <t xml:space="preserve">In the following pages, we have focused on answering two specific topics from the RFI:</t>
  </si>
  <si>
    <t xml:space="preserve">T2: How organizations currently define and manage characteristics of AI trustworthiness and whether there are important characteristics which should be considered in the Framework besides: Accuracy, explainability and interpretability, reliability, privacy, robustness, safety, security (resilience), and mitigation of harmful bias, or harmful outcomes from misuse of the AI.&lt;sup&gt;1&lt;/sup&gt;</t>
  </si>
  <si>
    <t xml:space="preserve">T7: AI risk management standards, frameworks, models, methodologies, tools, guidelines and best practices, principles, and practices which NIST should consider to ensure that the AI RMF aligns with and supports other efforts.</t>
  </si>
  <si>
    <t xml:space="preserve">…ience.
MITRE has a long history of partnering with federal agencies to apply the best elements of AI and machine learning (ML) while developing and supporting ethical guardrails to protect people and their personal data. Our team is committed to anticipating and solving future needs that are vital to the success and safety of the public and the country.
MITRE values the opportunity to contribute to this important discussion. We are also eager to engage further with NIST and the community it is leading. In the following pages, we have focused on answering two specific topics from the RFI:
- ⟦T2: How organizations currently define and manage characteristics of AI trustworthiness and whether there are important characteristics which should be considered in the Framework besides: Accuracy, explainability and interpretability, reliability, privacy, robustness, safety, security (resilience), and mitigation of harmful bias, or harmful outcomes from misuse of the AI.&lt;sup&gt;1&lt;/sup&gt;⟧
- T7: AI risk management standards, frameworks, models, methodologies, tools, guidelines and best practices, principles, and practices which NIST should consider to ensure that the AI RMF aligns with and supports other efforts.
1
&lt;sup&gt;1&lt;/sup&gt; Note that this response is also relevant to topics T3, T4, and T5.
# Response to Topic 2
T2: How organizations currently define and manage characteristics of AI trustworthiness and whether there are important characteristics which should be considered in the Framework besides: Accuracy, explainability and interpretability, reliability, privacy, robus…</t>
  </si>
  <si>
    <t xml:space="preserve">446e8f1a-5258-5656-99a4-2f26fc4d1032</t>
  </si>
  <si>
    <t xml:space="preserve">NIST-2021-0004-0070</t>
  </si>
  <si>
    <t xml:space="preserve">NIST/2021-16176/comments/comment_attachments/NIST-2021-0004-0070_1.md</t>
  </si>
  <si>
    <t xml:space="preserve">A model process for addressing ethical issues in system design is depicted in IEEE [7000-2021](https://standards.ieee.org/standard/7000-2021.html) - IEEE Standard Model Process for [Addressing](https://standards.ieee.org/standard/7000-2021.html) Ethical Concerns during System Design, which will be published soon.</t>
  </si>
  <si>
    <t xml:space="preserve">Legal responsibility for AI designing, developing, and deploying AI systems so that there is legal responsibility present throughout the system life cycle, and attributable to a broad spectrum of human agents (e.g., designers, programmers, engineers, manufacturers, operators, and system owners).</t>
  </si>
  <si>
    <t xml:space="preserve">This applies to all sizes of enterprises, public and private.</t>
  </si>
  <si>
    <t xml:space="preserve">…ity through coercion, manipulation, deception, or loss of autonomy. In this context, human dignity means innate human worthiness that relates to the status of human beings as agents with rational capacity to exercise reasoning, judgement, and choice, and which entitles them to respectful treatment.
- Legal responsibility for AI designing, developing, and deploying AI systems so that there is legal responsibility present throughout the system life cycle, and attributable to a broad spectrum of human agents (e.g., designers, programmers, engineers, manufacturers, operators, and system owners).
⟦A model process for addressing ethical issues in system design is depicted in IEEE [7000-2021](https://standards.ieee.org/standard/7000-2021.html) - IEEE Standard Model Process for [Addressing](https://standards.ieee.org/standard/7000-2021.html) Ethical Concerns during System Design, which will be published soon.⟧ This applies to all sizes of enterprises, public and private.
IEEE SA would also like to emphasize that it is critical to have a "societal impact assessment" lens for AI to help avoid the risk of prioritizing economic or financial metrics or growth in isolation. The "risks" encountered when designing for GDP measures are different from those considered when environment and human wellbeing are also taken into account. For precedents here, please see:
- The IEEE standard: IEEE 7010-2020 IEEE [Recommended](https://standards.ieee.org/standard/7010-2020.html?utm_medium=undefined&amp;utm_source=undef…</t>
  </si>
  <si>
    <t xml:space="preserve">6173da85-5c1a-599f-b645-eec425d69531</t>
  </si>
  <si>
    <t xml:space="preserve">NIST-2021-0004-0081</t>
  </si>
  <si>
    <t xml:space="preserve">NIST/2021-16176/comments/comment_attachments/NIST-2021-0004-0081_1.md</t>
  </si>
  <si>
    <t xml:space="preserve">Web: http://www.utkukose.com/</t>
  </si>
  <si>
    <t xml:space="preserve">Email: ;</t>
  </si>
  <si>
    <t xml:space="preserve">Scholar Link: https://scholar.google.com.tr/citations?</t>
  </si>
  <si>
    <t xml:space="preserve">…Software Engineering
Faculty of Engineering and Applied Science
OntarioTech University, Canada
Email: ;
Google scholar: https://scholar.google.com/citations?user=I9aBAuQAAAAJ&amp;hl=en
#### **Dr. Bhuvan Unhelkar PhD**
FACS; University of South Florida (Sarasota-Manatee campus)
Email:
Google scholar:https://scholar.google.com/citations?user=nrajz54AAAAJ&amp;hl=en
### **Dr. Sheng-Lung Peng**
Professor, National Taipei University of Business, Taiwan,
Email:
#### **Dr. Utku Kose**
Associate Professor, Dept. of Computer Engineering,
Suleyman Demirel University, West Campus, Turkey
Email: ;
⟦Web: http://www.utkukose.com/⟧
Scholar Link: https://scholar.google.com.tr/citations?user=aTweWB4AAAAJ
### **Dr. Jafar A. Alzubi**
Head of Computer Engineering Department
Al-Balqa Applied University, Jordan
Email:
Scholar Link: https://scholar.google.co.in/citations?user=2FaLVd0AAAAJ&amp;hl=en
#### **Dr. Hongju Cheng**
Professor, College of Mathematics and Computer Science,
Fuzhou University, Fuzhou, China,
Email:
Scholar Link: https://scholar.google.com/citations?user=KxWm8VUAAAAJ&amp;hl=en
### **Dr. Varun G Menon**
Associate Professor in Computer Science at SCMS, IEEE Senior Member, ACM Distinguished Speaker scmsgro…</t>
  </si>
  <si>
    <t xml:space="preserve">cb0abe53-60dd-53fb-842e-bdeeb7a6b75a</t>
  </si>
  <si>
    <t xml:space="preserve">- Shevlane et al., Model [evaluation](https://arxiv.org/pdf/2305.15324.pdf) for extreme risks, 2023</t>
  </si>
  <si>
    <t xml:space="preserve">Mökander et al., Auditing large language models: A [three-layered](https://doi.org/10.1007/s43681-023-00289-2) approach, 2023</t>
  </si>
  <si>
    <t xml:space="preserve">Shevlane et al., Model [evaluation](https://arxiv.org/pdf/2305.15324.pdf) for extreme risks, 2023</t>
  </si>
  <si>
    <t xml:space="preserve">Schuett et al., Towards best practices in AGI safety and [governance:](https://arxiv.org/abs/2305.07153) A survey of expert [opinion,](https://arxiv.org/abs/2305.07153) 2023</t>
  </si>
  <si>
    <t xml:space="preserve">…S -presence. It was founded in 2018, initially as part of the Future of Humanity Institute at the University of Oxford, before becoming an independent research organization in 2021. GovAI's mission is to build a global research community, dedicated to helping humanity navigate the transition to a world with advanced AI. More information at [governance.ai.](https://governance.ai)
GovAI researchers have published several pieces relevant to this Request for Comment:
- Mökander et al., Auditing large language models: A [three-layered](https://doi.org/10.1007/s43681-023-00289-2) approach, 2023
- ⟦Shevlane et al., Model [evaluation](https://arxiv.org/pdf/2305.15324.pdf) for extreme risks, 2023⟧
- Schuett et al., Towards best practices in AGI safety and [governance:](https://arxiv.org/abs/2305.07153) A survey of expert [opinion,](https://arxiv.org/abs/2305.07153) 2023
- Bluemke et al., Exploring the relevance of data [privacy-enhancing](https://arxiv.org/abs/2303.08956) technologies for AI [governance](https://arxiv.org/abs/2303.08956) use cases, 2023
- Anderljung, Heim, &amp; Shevlane, Compute Funds and [Pre-trained](https://www.governance.ai/post/compute-funds-and-pre-trained-models) Models, 2022.
- Anderljung et al., Public accountability via external scrutiny of foundation models: Au…</t>
  </si>
  <si>
    <t xml:space="preserve">5837ce79-6708-596d-a04b-6b3bc1d381bf</t>
  </si>
  <si>
    <t xml:space="preserve">NTIA-2023-0005-1343</t>
  </si>
  <si>
    <t xml:space="preserve">NTIA/2023-07776/comments/comment_attachments/NTIA-2023-0005-1343_1.md</t>
  </si>
  <si>
    <t xml:space="preserve">Luckily, a multi-faceted community of AI governance stakeholders is already emerging, from teams within developers and deployers to vendors, assurance toolsets, and research and standards setting organizations in the public and private sector.[9]</t>
  </si>
  <si>
    <t xml:space="preserve">The substantial gap between the demand for experts to implement tailored AI governance practices and the professionals who are ready to do so represents a significant barrier to AI innovation and competitiveness.</t>
  </si>
  <si>
    <t xml:space="preserve">Luckily, a multi-faceted community of AI governance stakeholders is already emerging, from teams within developers and deployers to vendors, assurance toolsets, and research and standards setting organizations in the public and private sector.[9](#page-3-1)</t>
  </si>
  <si>
    <t xml:space="preserve">In short, no matter which tools you pursue in the Administration's AI Action Plan, please keep in mind the people who will do the work.</t>
  </si>
  <si>
    <t xml:space="preserve">… led to the development of mature and interdisciplinary privacy functions within organizations today.[8](#page-3-0)
IAPP believes that the ongoing work to spread AI governance practices across organizations will benefit from professionalization in the same way, centered within a workforce that is trained, credentialed, and connected to keep pace with increasing complexity and risk. The substantial gap between the demand for experts to implement tailored AI governance practices and the professionals who are ready to do so represents a significant barrier to AI innovation and competitiveness.
⟦Luckily, a multi-faceted community of AI governance stakeholders is already emerging, from teams within developers and deployers to vendors, assurance toolsets, and research and standards setting organizations in the public and private sector.[9](#page-3-1)⟧
In short, no matter which tools you pursue in the Administration's AI Action Plan, please keep in mind the people who will do the work.
To achieve an efficient and long-lasting AI ecosystem, the United States must prioritize the professionalization of the AI governance workforce. This approach guarantees that risk-aware innovation can flourish, benefitting consumers, businesses, and the U.S. competitive standing on the global stage.
We thank OSTP, NSF, and the Administration for considering these comments.
Respectfully submitted,
## **IAPP**
75 Rochester Ave. Portsmouth, NH 03801
J. Tr…</t>
  </si>
  <si>
    <t xml:space="preserve">f3e9da7c-3a7c-557a-8804-19f681f68c42</t>
  </si>
  <si>
    <t xml:space="preserve">AI-RFI-2025-1258</t>
  </si>
  <si>
    <t xml:space="preserve">NSF/2025-02305/comments/comment_attachments/AI-RFI-2025-1258_1.md</t>
  </si>
  <si>
    <t xml:space="preserve">Another consistent barrier to AI adoption is the business friction created by a lack of clarity of where responsibility should lie for AI outcomes-with the developers who train systems, or with the users who deploy them.[7]</t>
  </si>
  <si>
    <t xml:space="preserve">Indeed, the lack of capable AI governance professionals presents a major barrier to the adoption of AI technologies across organizations, where surveys consistently show a lack of adoption of AI systems due to the persistence of skills gaps and an overestimation of risk.</t>
  </si>
  <si>
    <t xml:space="preserve">[6](#page-2-2) Another consistent barrier to AI adoption is the business friction created by a lack of clarity of where responsibility should lie for AI outcomes—with the developers who train systems, or with the users who deploy them.[7](#page-2-3)</t>
  </si>
  <si>
    <t xml:space="preserve">Even if not solved by top-down rules, these frictions will be mitigated by shared professional practices.</t>
  </si>
  <si>
    <t xml:space="preserve">…andards of responsibility.**
Professionalization also leads to uniform benchmarks for evaluating risks and assigning responsibility across firms. A shared understanding of these matters across a connected community of professionals reduces uncertainty, streamlines global compliance, and levels the competitive playing field.
Indeed, the lack of capable AI governance professionals presents a major barrier to the adoption of AI technologies across organizations, where surveys consistently show a lack of adoption of AI systems due to the persistence of skills gaps and an overestimation of risk. ⟦[6](#page-2-2) Another consistent barrier to AI adoption is the business friction created by a lack of clarity of where responsibility should lie for AI outcomes—with the developers who train systems, or with the users who deploy them.[7](#page-2-3)⟧ Even if not solved by top-down rules, these frictions will be mitigated by shared professional practices.
#### **A competitive workforce requires knowledge of risk management.**
Less than a decade ago, the field of data privacy sat in a similar nascent position, where expert navigation was needed to build consistency and trust into organizational
&lt;span id="page-2-0"&gt;&lt;/span&gt;&lt;sup&gt;4&lt;/sup&gt; Müge Fazlioglu, *IAPP Privacy and Consumer Trust Report*, IAPP (March 2023) https://iapp.org/resources/article/privacy-and-consumer-trust-summary/.
&lt;span id="page-2-1"&gt;&lt;/span&gt;&lt;sup&gt;5&lt;/sup&gt; Hossein Rahnama &amp; …</t>
  </si>
  <si>
    <t xml:space="preserve">0627d028-1fdb-52e6-ad63-0193ed755e59</t>
  </si>
  <si>
    <t xml:space="preserve">See link [1] below for background and [2] for case studies where covering arrays have been applied to autonomous vehicle testing.</t>
  </si>
  <si>
    <t xml:space="preserve">We can apply covering arrays for all t-way (e.g., all triples of values) combinations of parameter values, or measure the coverage of tests that are applied.</t>
  </si>
  <si>
    <t xml:space="preserve">1. https://csrc.nist.gov/Projects/automated-combinatorial-testing-for-software/coveragemeasurement</t>
  </si>
  <si>
    <t xml:space="preserve">…easurement-based test methods and tools for ensuring security and reliability of autonomous systems must address both verification and validation. Verification Input space model measurement – Verification means ensuring that the system behaves as specified for all inputs. This requires ensuring that training and test data closely match the environment for use, and rare combinations are included in autonomous systems training and testing. We can apply covering arrays for all t-way (e.g., all triples of values) combinations of parameter values, or measure the coverage of tests that are applied. ⟦See link [1] below for background and [2] for case studies where covering arrays have been applied to autonomous vehicle testing.⟧ 1. https://csrc.nist.gov/Projects/automated-combinatorial-testing-for-software/coveragemeasurement 2. https://csrc.nist.gov/Projects/automated-combinatorial-testing-for-software/casestudies-and-examples/autonomous-vehicles Validation Explainability – Validation means ensuring that the system meets the needs of the user including its security and trustworthiness. If we cannot explain or justify decisions of an AI application, then it is difficult to trust the system. Even black-box components such as neural nets can be hard to trust based only on a track record of use, as these systems are "br…</t>
  </si>
  <si>
    <t xml:space="preserve">9a19e5ab-41bd-5905-8e98-9b63cf9ecc23</t>
  </si>
  <si>
    <t xml:space="preserve">Richard-Kuhn-RFI-2025</t>
  </si>
  <si>
    <t xml:space="preserve">NSF/2025-02305/comments/comment_attachments/Richard-Kuhn-RFI-2025_1.md</t>
  </si>
  <si>
    <t xml:space="preserve">cited_heading</t>
  </si>
  <si>
    <t xml:space="preserve">Comments of Meta Platforms, Inc.1</t>
  </si>
  <si>
    <t xml:space="preserve">**Comments of Meta Platforms, Inc.&lt;sup&gt;1&lt;/sup&gt;**</t>
  </si>
  <si>
    <t xml:space="preserve">![](_page_0_Picture_0.jpeg)
# **Before the NATIONAL SCIENCE FOUNDATION AND THE OFFICE OF SCIENCE AND TECHNOLOGY POLICY Washington, DC**
| In the Matter of                                         | )                                             |
|----------------------------------------------------------|-----------------------------------------------|
| Development of an Artificial&lt;br&gt;Intelligence Action Plan | )&lt;br&gt;)&lt;br&gt;Docket No. NSF_FRDOC_0001-3479&lt;br&gt;) |
# ⟦**Comments of Meta Platforms, Inc.&lt;sup&gt;1&lt;/sup&gt;**⟧
March 14, 2025
#### **INTRODUCTION**
Meta appreciates the opportunity to provide comments regarding the development of an Artificial Intelligence Action Plan. The President has put forward a bold vision for American AI leadership, based on American innovation and entrepreneurship, and the strength of our free markets. This will empower a future in which America leads the world in the development of technology that will "promote human flourishing, economic competitiveness, and national security."&lt;sup&gt;2&lt;/sup&gt; Meta is grateful for the President's leadership on this issue and is eager to partn…</t>
  </si>
  <si>
    <t xml:space="preserve">3bf50c84-89aa-5326-88ac-80f213fe83ee</t>
  </si>
  <si>
    <t xml:space="preserve">AI vulnerability: The Lurking Threat of Backdoored Models</t>
  </si>
  <si>
    <t xml:space="preserve">[AI vulnerability: The Lurking Threat of Backdoored Models](https://x.com/4Maciejko/status/1750295330053030038?s=20)</t>
  </si>
  <si>
    <t xml:space="preserve">…cts.org/p/2023-ai-survey-of-2778-six-things)
## [Analysis of survey with respect to "open" source](https://www.linkedin.com/posts/maciejko_should-we-listen-to-ai-experts-im-a-activity-7149388170055335936-MrYE?utm_source=share&amp;utm_medium=member_desktop)
Model Poisoning: Researchers have shown that bad actors can relatively easily modify AI models to have malicious traits, including back doors. Such malicious features are hard to detect and almost impossible to remove. Once released, unsecured AI models are out of their developers' control. How can we then trust any third-party AI system?
## ⟦[AI vulnerability: The Lurking Threat of Backdoored Models](https://x.com/4Maciejko/status/1750295330053030038?s=20)⟧
## [Unleashing Zero-click Worms that Target GenAI-Powered Applications](https://sites.google.com/view/compromptmized)
Reliability: Sites like Hugging Face host 100,000s of unsecured AI models. Is anyone responsible for the safety of these models? Could anyone rely on ANY models to perform as stated if developers who assume no liability upload them for free distribution? How are such models more secure than any random software available anywhere online?
## [Over 100 Malicious AI/ML Models Found on Hugging Face Platform](https://thehackernews.com/2024/03/over-100-malicious-aiml-models-found-…</t>
  </si>
  <si>
    <t xml:space="preserve">cdf1004d-6579-5c4e-a9af-b8657ee896ef</t>
  </si>
  <si>
    <t xml:space="preserve">NTIA-2023-0009-0116</t>
  </si>
  <si>
    <t xml:space="preserve">NTIA/2024-03763/comments/comment_attachments/NTIA-2023-0009-0116_1.md</t>
  </si>
  <si>
    <t xml:space="preserve">Priority 1: National AI Technology Roadmap (Section [3.1.3.1)]</t>
  </si>
  <si>
    <t xml:space="preserve">**Priority 1: National AI Technology Roadmap (Section [3.1.3.1\)](#page-4-0)**</t>
  </si>
  <si>
    <t xml:space="preserve">…ation)
- **Lifelong Learning &amp; Upskilling Tax Incentives (Scheduled):** Tax credits and incentives for workers and employers investing in continuous and reskilling.
- **Focus on Emerging Industries (Flexible):** Reskilling programs aligned with growing sectors like bio, AI, and advanced manufacturing.
## **4. Recommendations – Priorities vs. Difficulty**
The following recommendations have been selected based on the anticipated impact each policy action might have, the urgency (Immediate, Scheduled, Flexible), and the relative difficulty of implementing the corresponding policy action.
#### ⟦**Priority 1: National AI Technology Roadmap (Section [3.1.3.1\)](#page-4-0)**⟧
Difficulty: Moderate: Requires significant coordination among government, private sector, and academia. The complexity of developing a cohesive AI strategy and implementation at scale may take several years to fully integrate.
# **Priority 2: Public-Private Partnerships and Manufacturing USA Institutes (Sections [3.1.3.3](#page-4-1) and [3.4.3.1\)](#page-9-0)**
Difficulty: Moderate: Partnerships with the Manufacturing USA Institutes already exist. Establishing sustained investment and coordination is necessary to scale the impact of AI research and adoption.
# **Priority 3: Workforce Resk…</t>
  </si>
  <si>
    <t xml:space="preserve">c345c47a-4ed7-5f5b-835f-facf30900392</t>
  </si>
  <si>
    <t xml:space="preserve">ARM-AI-RFI-2025</t>
  </si>
  <si>
    <t xml:space="preserve">NSF/2025-02305/comments/comment_attachments/ARM-AI-RFI-2025_1.md</t>
  </si>
  <si>
    <t xml:space="preserve">Tradeoffs and AI Accountability Objectives2</t>
  </si>
  <si>
    <t xml:space="preserve">**b. Tradeoffs and AI Accountability Objectives2**</t>
  </si>
  <si>
    <t xml:space="preserve">…ng a certain system.
This echoes one of NAIRR's metrics of success, i.e., the availability of high-quality data sets. We argue that data sharing and publicity is not only important for model training, but also
![](_page_3_Picture_0.jpeg)
for holding companies who develop risky AI systems accountable. Further, cataloging and categorizing AI risks could help define AI systems associated with different levels of risks in a tiered risk system. For example, researchers can use news articles collected in the AI Incident Database to determine how risky a certain AI system is in the real world.
# ⟦**b. Tradeoffs and AI Accountability Objectives2**⟧
A single type of AI system often incurs multiple risks. As revealed by Wei and Zhou (2022), intelligent service robots are associated with poor performance (48.7%) and physical safety issues (20.5%); language/vision models are often complained about their poor performance (31.3%), racial discrimination (31.3%), and gender discrimination (21.9%).
While AI regulatory frameworks such as the Blueprint for an AI Bill of Rights discuss AI accountability under different goals, they hardly touch on how the different goals interact with each other. By cataloging AI risks associated with AI systems, …</t>
  </si>
  <si>
    <t xml:space="preserve">462641e3-30bf-5434-9f40-1b25b8211055</t>
  </si>
  <si>
    <t xml:space="preserve">NTIA-2023-0005-0810</t>
  </si>
  <si>
    <t xml:space="preserve">NTIA/2023-07776/comments/comment_attachments/NTIA-2023-0005-0810_1.md</t>
  </si>
  <si>
    <t xml:space="preserve">Example FactSheet[7]</t>
  </si>
  <si>
    <t xml:space="preserve">Example FactSheet[7](#page-12-0)</t>
  </si>
  <si>
    <t xml:space="preserve">… impact reports, or others.[6](#page-11-0)
Is the data used to the train the system representative of the communities it covers?
How can the City and its partners flag issues related to bias, discrimination or poor performance of the AI system?
How is the AI tool made accessible to people with disabilities?
Has it been assessed against any usability standards, and if so what was the result?
What other human factors, if any, were considered for usability and accessibility of the system?
&lt;span id="page-11-0"&gt;&lt;/span&gt;&lt;sup&gt;6&lt;/sup&gt; An example bias impact report template is hosted by AI Now
# ⟦Example FactSheet[7](#page-12-0)⟧
**This is an example of the factsheet above completed by a fake company. This is only here for reference and does not need to be included in the completed form.**
| Vendor Name         | XYZ Technologies, Inc.                                                                                                                                                                                                                                                                                                                                                 |       |
|---------------------|------------------…</t>
  </si>
  <si>
    <t xml:space="preserve">bc97a29c-dccb-5f6b-a6b4-0f07acd31607</t>
  </si>
  <si>
    <t xml:space="preserve">OMB-2023-0020-0182</t>
  </si>
  <si>
    <t xml:space="preserve">OMB/2023-24269/comments/comment_attachments/OMB-2023-0020-0182_1.md</t>
  </si>
  <si>
    <t xml:space="preserve">18 For example, plant designers failed to anticipate such a "common cause failure" when designing the Fukushima Daiichi nuclear power plant, where a tsunami caused a disaster by disabling several sources of power simultaneously: external power lines, emergency generators, and several backup batteries. To ensure that these defense layers did not fail simultaneously, the plant owner should have waterproofed some of them or moved them to higher ground. (Hibbs &amp; [Acton,](https://perma.cc/3AVK-FJHK) 2012)</t>
  </si>
  <si>
    <t xml:space="preserve">For example, plant designers failed to anticipate such a "common cause failure" when designing the Fukushima Daiichi nuclear power plant, where a tsunami caused a disaster by disabling several sources of power simultaneously: external power lines, emergency generators, and several backup batteries. To ensure that these defense layers did not fail simultaneously, the plant owner should have waterproofed some of them or moved them to higher ground. (Hibbs &amp; [Acton,](https://perma.cc/3AVK-FJHK) 2012)</t>
  </si>
  <si>
    <t xml:space="preserve">…ed as a component of a national security system), including appropriate procedures and processes, to enable developers of AI, especially of dual-use foundation models, to conduct AI red-teaming tests to enable deployment of safe, secure, and trustworthy systems."*
#### &lt;span id="page-9-0"&gt;&lt;/span&gt;5 | Defining AI red-teaming
**Recommendation #5: NIST should issue guidance to define and distinguish different types of AI red-teaming, as AI practitioners currently use red-teaming to refer to many distinct types of assurance techniques. For example, "red-teaming" has been used to**
&lt;sup&gt;18&lt;/sup&gt; ⟦For example, plant designers failed to anticipate such a "common cause failure" when designing the Fukushima Daiichi nuclear power plant, where a tsunami caused a disaster by disabling several sources of power simultaneously: external power lines, emergency generators, and several backup batteries. To ensure that these defense layers did not fail simultaneously, the plant owner should have waterproofed some of them or moved them to higher ground. (Hibbs &amp; [Acton,](https://perma.cc/3AVK-FJHK) 2012)⟧
![](_page_10_Picture_0.jpeg)
**refer to automated stress-testing, in-house or third-party risk identification, large-scale crowdsourcing, and scenario-based simulation exercises**.
Below, we provide some emerging archetypes of red-teaming exercises. 19
| Red-teaming&lt;br&gt;archetype                                                                                                                           | Description&lt;br&gt;/&lt;br&gt;Example                                                                                                                                                                    …</t>
  </si>
  <si>
    <t xml:space="preserve">d7ae9012-b210-5b11-a183-24c6ba5b9e35</t>
  </si>
  <si>
    <t xml:space="preserve">NIST-2023-0009-0026</t>
  </si>
  <si>
    <t xml:space="preserve">NIST/2023-28232/comments/comment_attachments/NIST-2023-0009-0026_1.md</t>
  </si>
  <si>
    <t xml:space="preserve">AI at Meta (2024) The Llama 3 Herd of Models.</t>
  </si>
  <si>
    <t xml:space="preserve">…ical threat creation: ideation, acquisition, magnification, formulation, and release. 19
&lt;https://ai.meta.com/research/publications/the-llama-3-herd-of-models/&gt;.
&lt;sup&gt;16&lt;/sup&gt; United Kingdom AI Safety Institute (2024) Advanced AI evaluations at AISI: May update. &lt;https://www.aisi.gov.uk/work/advanced-ai-evaluations-may-update&gt;.
&lt;sup&gt;17&lt;/sup&gt; Anthropic (2024) Responsible Scaling Policy Evaluations Report – Claude 3 Opus. [https://www.anthropic.com/news/reflections-on-our-responsible-scaling-policy.](https://www.anthropic.com/news/reflections-on-our-responsible-scaling-policy)
&lt;sup&gt;18&lt;/sup&gt; ⟦AI at Meta (2024) The Llama 3 Herd of Models.⟧
&lt;sup&gt;19&lt;/sup&gt; OpenAI (2024) Building an early warning system for LLM-aided biological threat creation. &lt;https://openai.com/index/building-an-early-warning-system-for-llm-aided-biological-threat-creation/&gt;.
- &lt;u&gt;Teams of LLM Agents can Exploit Zero-Day Vulnerabilities&lt;/u&gt;: This academic paper studies the ability of LLM agents to automatically take advantage of cybersecurity vulnerabilities in web applications, as cataloged in the Common Vulnerabilities and Exposures database.&lt;sup&gt;20&lt;/sup&gt;
- &lt;u&gt;Cybench&lt;/u&gt;: Cybench is a framework for evaluating cybersecurity capabilities of LLM agents. The pa…</t>
  </si>
  <si>
    <t xml:space="preserve">ab6eb0ba-4d96-578c-8157-2d43a61edc1f</t>
  </si>
  <si>
    <t xml:space="preserve">NIST-2024-0002-0022</t>
  </si>
  <si>
    <t xml:space="preserve">NIST/2024-17614/comments/comment_attachments/NIST-2024-0002-0022_1.md</t>
  </si>
  <si>
    <t xml:space="preserve">EU AI Act State of Play - with MEP Dragoș Tudorache, held May 23, 2022.</t>
  </si>
  <si>
    <t xml:space="preserve">…gical Change, held Sept 19-20 (note[d here\)](https://www.linkedin.com/posts/centre-for-information-policy-leadership_cipl-annual-executive-retreat-2023-activity-7112003147547426816-PXZN/).
&lt;span id="page-3-5"&gt;&lt;/span&gt;&lt;sup&gt;23&lt;/sup&gt; Demystifying Generative AI, held June 29, 2023.
&lt;span id="page-3-6"&gt;&lt;/span&gt;&lt;sup&gt;24&lt;/sup&gt; See "Quo Vadis, CPO? An Evolving Role in Changing Times," published on LinkedIn June 2, 2023: [https://www.linkedin.com/pulse/quo-vadis-cpo-evolving-role-changing/.](https://www.linkedin.com/pulse/quo-vadis-cpo-evolving-role-changing/)
&lt;span id="page-3-7"&gt;&lt;/span&gt;&lt;sup&gt;25&lt;/sup&gt; ⟦EU AI Act State of Play - with MEP Dragoș Tudorache, held May 23, 2022.⟧
&lt;span id="page-3-8"&gt;&lt;/span&gt;&lt;sup&gt;26&lt;/sup&gt; EU AI Act State of Play - with MEP Axel Voss, held April 21, 2022.
![](_page_4_Picture_0.jpeg)
• In March 2021, CIPL organized a roundtable entitled "EU Approach to Regulating AI–How Can Experimentation Help Bridge Innovation and Regulation?"[27](#page-4-0)
Given our breadth of knowledge, CIPL would welcome the opportunity to share our expertise in any manner that would be helpful.
&lt;span id="page-4-0"&gt;&lt;/span&gt;&lt;sup&gt;27&lt;/sup&gt; See "CIPL Organizes Webinar on EU Approach to Regulating AI and Regulatory Experimentation," posted April 2, 2021, Privacy &amp; In…</t>
  </si>
  <si>
    <t xml:space="preserve">6bd6a431-c826-5a50-8a4f-e5e86247b65b</t>
  </si>
  <si>
    <t xml:space="preserve">NIST-2023-0009-0044</t>
  </si>
  <si>
    <t xml:space="preserve">NIST/2023-28232/comments/comment_attachments/NIST-2023-0009-0044_1.md</t>
  </si>
  <si>
    <t xml:space="preserve">6 For more on agency grantmaking reforms, see, e.g. Eloise Pasachoff, Federal Grant Rules and Realities in the Intergovernmental Administrative State: Compliance, Performance, and Politics, Yale J. Regul. (2020), &lt;https://openyls.law.yale.edu/handle/20.500.13051/8307&gt;[.]</t>
  </si>
  <si>
    <t xml:space="preserve">For more on agency grantmaking reforms, *see, e.g.* Eloise [Pasachoff,](https://www.zotero.org/google-docs/?7aZP7I) *Federal Grant Rules and Realities in the [Intergovernmental](https://www.zotero.org/google-docs/?7aZP7I) Administrative State: Compliance, Performance, and Politics*, Yale J. Regul.</t>
  </si>
  <si>
    <t xml:space="preserve">…s://www.whitehouse.gov/briefing-room/presidential-actions/2023/02/16/executive-order-on-further-advancing-racial-equity-and-support-for-underserved-communities-through-the-federal-government/)[.](https://www.zotero.org/google-docs/?BxRFo1)
&lt;sup&gt;5&lt;/sup&gt; Office of Management and Budget, M-21-27, [Evidence-Based](https://www.zotero.org/google-docs/?q1ODeU) Policymaking: Learning Agendas and Annual [Evaluation](https://www.zotero.org/google-docs/?q1ODeU) Plans, (2021), &lt;https://www.whitehouse.gov/wp-content/uploads/2021/06/M-21-27.pdf&gt;[.](https://www.zotero.org/google-docs/?r5WHyV)
&lt;sup&gt;6&lt;/sup&gt; ⟦For more on agency grantmaking reforms, *see, e.g.* Eloise [Pasachoff,](https://www.zotero.org/google-docs/?7aZP7I) *Federal Grant Rules and Realities in the [Intergovernmental](https://www.zotero.org/google-docs/?7aZP7I) Administrative State: Compliance, Performance, and Politics*, Yale J. Regul.⟧ (2020), &lt;https://openyls.law.yale.edu/handle/20.500.13051/8307&gt;[.](https://www.zotero.org/google-docs/?VMSRIC)
of Rights, and is backed by a strong evidence base of harms documented in news coverage, policy reports, court cases, and academic literature.&lt;sup&gt;7&lt;/sup&gt;
However, OMB should take further steps to ensure that agencies are consistently and appropriately interpreting the Memo. Specifically, OMB should:
- **Revisit and update the list of presumed use cases regularly**, with an opportunity for relevant experts and the public to recommend changes and provide comments (see further respo…</t>
  </si>
  <si>
    <t xml:space="preserve">9521001b-5412-526b-9b5d-d8cb5ebea328</t>
  </si>
  <si>
    <t xml:space="preserve">OMB-2023-0020-0130</t>
  </si>
  <si>
    <t xml:space="preserve">OMB/2023-24269/comments/comment_attachments/OMB-2023-0020-0130_1.md</t>
  </si>
  <si>
    <t xml:space="preserve">17 [https://www.oecd.org/going-digital/ai/principles/.](https://www.oecd.org/going-digital/ai/principles/)</t>
  </si>
  <si>
    <t xml:space="preserve">[https://www.oecd.org/going-digital/ai/principles/.](https://www.oecd.org/going-digital/ai/principles/)</t>
  </si>
  <si>
    <t xml:space="preserve">… of AI, however, extends beyond immediate regulatory considerations. It should be considered within the broader context of the Administration's work in areas such as
&lt;sup&gt;15&lt;/sup&gt; &lt;https://www.whitehouse.gov/wp-content/uploads/2017/11/Circular-119-1.pdf&gt;. 16
[https://www.whitehouse.gov/sites/whitehouse.gov/files/omb/inforeg/inforeg/eo\\_13609/eo13609\\_05012012](https://www.whitehouse.gov/sites/whitehouse.gov/files/omb/inforeg/inforeg/eo_13609/eo13609_05012012.pdf) [.pdf](https://www.whitehouse.gov/sites/whitehouse.gov/files/omb/inforeg/inforeg/eo_13609/eo13609_05012012.pdf).
&lt;sup&gt;17&lt;/sup&gt; ⟦[https://www.oecd.org/going-digital/ai/principles/.](https://www.oecd.org/going-digital/ai/principles/)⟧
IT modernization, including migration from legacy infrastructure to the cloud. Reducing barriers for AI thus entails building bridges and encouraging adoption of new technology and IT infrastructure, without which AI cannot be deployed at scale in a meaningful way.
# *Agency Plans to Achieve Consistency with this Memorandum*
Executive Order 13859 requires that implementing agencies submit plans to OMB for achieving consistency with the memorandum. Google urges OMB to ensure that agencies conduct outside consultations on their implementation plans, including with the public, business, and a…</t>
  </si>
  <si>
    <t xml:space="preserve">b5d8ca1b-cbc1-5e60-8cae-bb591a4dbb00</t>
  </si>
  <si>
    <t xml:space="preserve">OMB-2020-0003-0053</t>
  </si>
  <si>
    <t xml:space="preserve">OMB/2020-00261/comments/comment_attachments/OMB-2020-0003-0053_1.md</t>
  </si>
  <si>
    <t xml:space="preserve">API Level [15,16]</t>
  </si>
  <si>
    <t xml:space="preserve">API Level [15,16]              | API Usability and Accessibility; Response&lt;br&gt;Time, Throughput, Cost; Security Features  | Make APIs user-friendly and secure, balance&lt;br&gt;performance with cost, and focus on strong security&lt;br&gt;protocols.</t>
  </si>
  <si>
    <t xml:space="preserve">…                                                                                          |
|--------------------------------|-----------------------------------------------------------------------------------------|-------------------------------------------------------------------------------------------------------------------------------|
| Model Level [13,&lt;br&gt;14]        | Architecture, Training, Datasets; Accuracy,&lt;br&gt;Efficiency, Scalability; Bias Mitigation | Prioritize transparency in design and data, implement&lt;br&gt;robust bias correction, and ensure high accuracy and&lt;br&gt;scalability. |
| ⟦API Level [15,16]              | API Usability and Accessibility; Response&lt;br&gt;Time, Throughput, Cost; Security Features  | Make APIs user-friendly and secure, balance&lt;br&gt;performance with cost, and focus on strong security&lt;br&gt;protocols.⟧              |
| Application Level&lt;br&gt;[17,18]   | Integration into Applications; Ethical&lt;br&gt;Considerations; Societal Impact               | Maintain transparency in AI use, prioritize user consent&lt;br&gt;and data security, and monitor societal impact.                   |
| Online Services&lt;br&gt;[19]        | AIaaS Security and Privacy; Monitoring and&lt;br&gt;Regulation                                | Implement strong security in cloud AI and regularly audit&lt;br&gt;for compliance and ethical standards.                            |
| In-App&lt;br&gt;Integrations&lt;br&gt;[20] | Integration Complexity; User Privacy;&lt;br&gt;Of…</t>
  </si>
  <si>
    <t xml:space="preserve">3b91b115-477e-56a0-8d12-f05e46ca60c9</t>
  </si>
  <si>
    <t xml:space="preserve">NIST-2023-0009-0041</t>
  </si>
  <si>
    <t xml:space="preserve">NIST/2023-28232/comments/comment_attachments/NIST-2023-0009-0041_1.md</t>
  </si>
  <si>
    <t xml:space="preserve">Darpa HR0011SB20254-04</t>
  </si>
  <si>
    <t xml:space="preserve">Darpa HR0011SB20254-04 | w</t>
  </si>
  <si>
    <t xml:space="preserve">…ics/generative-ai-enabled-ta    |
| Army A254-019          | ctical-network/                                                  |
|                        | https://seed.nih.gov/small-business-funding/find-funding/sbir-st |
| NIH                    | tr-funding-opportunities                                         |
|                        | https://www.onr.navy.mil/work-with-us/small-business/long-ran    |
| Navy                   | ge-acquisition-forecast                                          |
|                        | https://sam.gov/opp/ee08da7ccddd45daac2f24a8d09b0e2e/vie         |
| ⟦Darpa HR0011SB20254-04 | w⟧                                                                |
We suggest building a consortium of AI experts and stakeholders from institutes and companies across America. The goal of this consortium would be to unite academia, industry, and the tech community in a shared mission: developing the workforce's AI skills through real-world projects and knowledge-sharing forums. By bringing together AI researchers, practitioners, and enthusiasts under one umbrella, we can ensure that American people and companies benefit from the latest AI breakthroughs and industry best practices. Our team ha…</t>
  </si>
  <si>
    <t xml:space="preserve">dd1f6832-0b0e-58ec-97f6-0943f7809941</t>
  </si>
  <si>
    <t xml:space="preserve">Anote-AI-RFI-2025</t>
  </si>
  <si>
    <t xml:space="preserve">NSF/2025-02305/comments/comment_attachments/Anote-AI-RFI-2025_1.md</t>
  </si>
  <si>
    <t xml:space="preserve">International Society of Productivity Enhancement (ISPE) Contact: Dr. Brian Prasad, Chief Technology Officer, President and CEO, Knowledge Solutions, Redondo Beach, CA, Tel: 001 714) 1. The International Conference on Knowledge Management http://www.ickms.org/</t>
  </si>
  <si>
    <t xml:space="preserve">International Society of Productivity&lt;br&gt;Enhancement (ISPE)                                                                                                                               | Contact: Dr. Brian Prasad, Chief Technology&lt;br&gt;Officer, President and CEO, Knowledge&lt;br&gt;Solutions, Redondo Beach, CA,&lt;br&gt;Tel: 001 714) 1.&lt;br&gt;The International Conference on&lt;br&gt;Knowledge Management&lt;br&gt;http://www.ickms.org/                                                                                                    | TBD&lt;br&gt;International Conference on Knowledge&lt;br&gt;Management</t>
  </si>
  <si>
    <t xml:space="preserve">…                                              | Description/URL                                                                                                                                                                   |
|-------------------------------------------------------------------------------------------------------------------------------------------------------------------------------------------|-----------------------------------------------------------------------------------------------------------------------------------------------------------------------------------|
| ⟦International Society of Productivity&lt;br&gt;Enhancement (ISPE)                                                                                                                               | Contact: Dr. Brian Prasad, Chief Technology&lt;br&gt;Officer, President and CEO, Knowledge&lt;br&gt;Solutions, Redondo Beach, CA,&lt;br&gt;Tel: 001 714)                                            |
| 1.&lt;br&gt;The International Conference on&lt;br&gt;Knowledge Management&lt;br&gt;http://www.ickms.org/                                                                                                    | TBD&lt;br&gt;International Conference on Knowledge&lt;br&gt;Management⟧                                                                                                                        |
|                                                                                                                                                                                           |                                                                                                                                                                                   |
| 2.&lt;br&gt;EKAW -&lt;br&gt;Knowledge Engineering and&lt;br&gt;Knowledge Management&lt;br&gt;https://link.springer.com/book/10.100…</t>
  </si>
  <si>
    <t xml:space="preserve">7b769265-48d0-551e-84ae-cabdf256ba48</t>
  </si>
  <si>
    <t xml:space="preserve">- 21 with the vulnerability disclosure policy.29</t>
  </si>
  <si>
    <t xml:space="preserve">19&lt;br&gt;20&lt;br&gt;21 | 2. Publish a safe harbor policy that commits to not pursuing legal action against or&lt;br&gt;restricting the accounts of external safety researchers that act in good faith and comply&lt;br&gt;with the vulnerability disclosure policy.29</t>
  </si>
  <si>
    <t xml:space="preserve">…                                                                    |  |  |
| 16&lt;br&gt;17       | 1. Publish a clear vulnerability disclosure policy for model safety issues that outlines how&lt;br&gt;such vulnerabilities safety issues should be shared with the developer and the public, and how&lt;br&gt;the                                     |  |  |
| 18             | organization will respond to reported vulnerabilitiessafety issues.                                                                                                                                                                       |  |  |
| ⟦19&lt;br&gt;20&lt;br&gt;21 | 2. Publish a safe harbor policy that commits to not pursuing legal action against or&lt;br&gt;restricting the accounts of external safety researchers that act in good faith and comply&lt;br&gt;with the vulnerability disclosure policy.29⟧          |  |  |
| 22&lt;br&gt;23       | 3. Consider providing support and accommodations for vetted external researchers'&lt;br&gt;interactions with the model, such as providing researchers with access to models with                                                                |  |  |
Managing Misuse Risk for Dual-Use Foundation Models
U.S. AI Safety Institute
NIST AI 800-1 ipd (Initial Public Draft)
July 2024
implemented:
fewer safeguards to conduct post-deployment red-teaming exercises.
The following documentation can help provide transparency about how Practice 6.4 is
Managing Misuse Risk …</t>
  </si>
  <si>
    <t xml:space="preserve">004c509a-98d7-5eb8-bc6f-824dcfef1d95</t>
  </si>
  <si>
    <t xml:space="preserve">NIST-2024-0002-0067</t>
  </si>
  <si>
    <t xml:space="preserve">NIST/2024-17614/comments/comment_attachments/NIST-2024-0002-0067_1.md</t>
  </si>
  <si>
    <t xml:space="preserve">Data &amp; Knowledge Engineering https://www.sciencedirect.com/journal/dat a-and-knowledge-engineering</t>
  </si>
  <si>
    <t xml:space="preserve">Data &amp; Knowledge Engineering&lt;br&gt;https://www.sciencedirect.com/journal/dat&lt;br&gt;a-and-knowledge-engineering&lt;br&gt;Data &amp; Knowledge Engineering&lt;br&gt;(DKE)&lt;br&gt;stimulates the exchange of ideas and&lt;br&gt;interaction between these two related fields&lt;br&gt;of interest.</t>
  </si>
  <si>
    <t xml:space="preserve">…                                                                                                                                                                                                          | Cover page                  |
|-------------------------------------------------------------------------------------------------------------------------------------------------------------------------------------------------------------------------------------------------------------------------------------------------------------------------------------------|-----------------------------|
| ⟦Data &amp; Knowledge Engineering&lt;br&gt;https://www.sciencedirect.com/journal/dat&lt;br&gt;a-and-knowledge-engineering&lt;br&gt;Data &amp; Knowledge Engineering&lt;br&gt;(DKE)&lt;br&gt;stimulates the exchange of ideas and&lt;br&gt;interaction between these two related fields&lt;br&gt;of interest.⟧                                                                                 |                             |
| ISSN 0169-023X&lt;br&gt;visit publication homepage                                                                                                                                                                                                                                                                                              | Publisher: Elsevier Science |
| International&lt;br&gt;Journal&lt;br&gt;of&lt;br&gt;Knowledge&lt;br&gt;Engineering&lt;br&gt;http://www.ijke.org/&lt;br&gt;International Journal of Knowledge&lt;…</t>
  </si>
  <si>
    <t xml:space="preserve">26fdf8e0-28a6-5d21-ac9c-734929bff093</t>
  </si>
  <si>
    <t xml:space="preserve">unmatched</t>
  </si>
  <si>
    <t xml:space="preserve">We trained and publicly released GPT-Neo-2.7B[24], GPT-J-6B[25], and GPT-NeoX-20B[26], each of which were the largest and most powerful publicly released LLM in the world at their time of release.</t>
  </si>
  <si>
    <t xml:space="preserve">[best fuzzy score 72] …s potentially risky, we felt that it was inappropriate to restrict access to the technology and prevent researchers from studying it. Instead, we felt that the best way to ensure a thriving and safe AI future was to ensure that private interests didn't dictate what research was permitted. Therefore we set out to replicate OpenAI's work.
Over the next two years we studied the machine learning development pipeline intensely, building the datasets[20](#page-6-4), training libraries[21](#page-6-5),[22](#page-6-6), and evaluation suites[23](#page-6-7) necessary to create our own foundation models.⟦ We trained and publicly released GPT-Neo-2.7B[24](#page-6-8), GPT-J-6B[25](#page-6-9), and GPT-NeoX-20B[26](#page-6-10), each of which were the
&lt;span id="page-6-1"&gt;&lt;/span&gt;&lt;sup&gt;17.&lt;/sup&gt;&lt;https://opensource.org/blog/metas-llama-2-license-is-not-open-source&gt;
&lt;span id="page-6-3"&gt;&lt;/span&gt;&lt;span id="page-6-2"&gt;&lt;/span&gt;&lt;sup&gt;18.&lt;/sup&gt;&lt;https://openfuture.eu/blog/the-mirage-of-open-source-ai-analyzing-metas-llama-2-release-strategy/&gt;
&lt;span id="page-6-4"&gt;&lt;/span&gt;&lt;sup&gt;19.&lt;/sup&gt; For an added complication, it is unclear [whether model weights are copyrightable](https://katedowninglaw.com/2024/02/06/choose-your-own-adventure-the-eu-ai-act-and-openish-ai-2/) at a⟧ll.
&lt;sup&gt;20.&lt;/sup&gt; Leo Gao et al. 2020. The pile: an 800gb dataset of diverse text for language modeling. arXiv: [2101.00027](https://arxiv.org/abs/2101.00027) [cs.CL].
&lt;span id="page-6-5"&gt;&lt;/span&gt;&lt;sup&gt;21.&lt;/sup&gt; Sid Black et al. 2021. GPT-Neo: Large Scale Autoregressive Language Modeling with Mesh-Tensorflow. V. 1.0, March. [https://doi.org/10.5281/zenodo.5297715. https://doi.org/](https://doi.org/10.5281/zenodo.5297715) [10.5281/zenodo.5297715.](https://doi.org/10.5281/zenodo.5297715)
&lt;span id="page-6-6"&gt;&lt;/span&gt;&lt;sup&gt;22.&lt;/sup&gt; Ben Wang. 2021. Mesh-Transformer-JAX: Model-Parallel Implementati…</t>
  </si>
  <si>
    <t xml:space="preserve">2fd1f673-5f6b-550b-b2c2-f3e82c37ae1d</t>
  </si>
  <si>
    <t xml:space="preserve">Europe's General Data Protection Regulation (GDPR) says that in cases of automated decision-making, the data subject has the right to access "meaningful information about the logic involved, as well as the significance and the envisaged consequences of such processing for the data subject."32</t>
  </si>
  <si>
    <t xml:space="preserve">[best fuzzy score 71] … discrimination grows in algorithmic darkness.
Companies should not be allowed to escape scrutiny by claiming the commercial need to protect their intellectual property or other company information. Europe's General Data Protection Regulation (GDPR) says that in cases of automated decision-making, the data subject has the
&lt;sup&gt;30&lt;/sup&gt; Gennie Gebhart and Bennett Cyphers, "Apple's App Tracking Transparency is Upending Mobile Phone Tracking," EFF Deeplinks (Apr. 2021), https://www.eff.org/deeplinks/2021/04/apples-apptrackingtransparency-upending-
mobile-phone-tracking. 31 Bennett Cyphers, "Go⟦ogle's FLoC is a Terrible Idea," EFF Deeplinks (Mar. 2021), https://www.eff.org/deeplinks/2021/03/googles-floc-terrible-idea
right to access "meaningful information about the logic involved, as well as the significance and the envisaged consequences of such processing for the data subject."⟧32 This is a good start.
A right to an explanation—both why an entity is collecting information, and how the system reached a final decision—is crucial to protecting consumers. This must not be sacrificed by a trade secrets claim. It is critical to be able to evaluate the reasoning behind such decisions, to ensure there is no incorrect information and that automated decision-making systems are not simply repeating (or even amplifying) historic biases from the systems they seek to replace.
### **II. Specific Areas of Focus**
We have outlined priorities the Commission should address generally…</t>
  </si>
  <si>
    <t xml:space="preserve">d8b698e3-3263-556a-ac4d-c0302012ac73</t>
  </si>
  <si>
    <t xml:space="preserve">NTIA-2023-0005-1199</t>
  </si>
  <si>
    <t xml:space="preserve">NTIA/2023-07776/comments/comment_attachments/NTIA-2023-0005-1199_1.md</t>
  </si>
  <si>
    <t xml:space="preserve">At each step, we draw on frameworks and tools to make the analysis more tractable and comprehensive, including by helping with prioritisation of risks/mitigations. 12 At each step, we draw on frameworks and tools to make the analysis more tractable and comprehensive, including by helping with prioritisation of risks/mitigations. For example, to aid deliberation on potential safety risks from AI systems, DeepMind researchers designed an AI Safety [Framework](https://deepmindsafetyresearch.medium.com/building-safe-artificial-intelligence-52f5f75058f1) that groups such risks into three categories, which has since been used by external actors. 1314</t>
  </si>
  <si>
    <t xml:space="preserve">[best fuzzy score 79] …igations. They also analyse the potential benefits of our research and ways to accelerate and equitably distribute these benefits.
Across the organisation, we use various frameworks and tools to support this work. At a high level, we typically break down analysis of a proposed AI research effort into a number of overarching steps which include, among others, considering socially beneficial uses; direct and indirect ethical risks; and potential mitigations**. &lt;sup&gt;12&lt;/sup&gt;** At each step, we draw on frameworks
&lt;sup&gt;11&lt;/sup&gt; When it comes to defining AI trustworthy characteristics, there is al⟦so scope to draw on well-established human rights laws and documents, for example with respect to anti-discrimination.
&lt;sup&gt;12&lt;/sup&gt; For further detail, please see this [DeepMind/UCL](https://www.youtube.com/watch?v=MhNcWxUs-PQ) lecture on Responsible Innovation.
![](_page_6_Picture_0.jpeg)
and tools to **make the analysis more tractable and comprehensive,** including by helping with prioritisation of risks/mitigations**.** For example, to aid deliberation on potential safety risks from AI systems, DeepMind researchers designed an **AI Safety [Framework](https://deepmindsafetyresearch.medium.com/building-safe-artificial-intelligence-52f5f75058f1)** that groups such risks into three categories, which has since been used by external actors. 1314⟧
&lt;sup&gt;13&lt;/sup&gt; The three categories are: *Specification*: ensuring that an AI system's behaviour aligns with the operator's true intentions. *Robustness*: ensuring that an AI system continues to operate within safe limits upon encountering risk, unpredictability and volatility in real-world settings. *Assurance*: ensuring that we can understand and control AI systems during operation, enabling them to be continuously monitored and adjusted where required. The Centre for Security and Emerging [Technologies](https://cset.georgetown.edu/about-us/) (CSET) recently drew on the framework to [outlin…</t>
  </si>
  <si>
    <t xml:space="preserve">0626d87f-0d87-5b08-af5c-7a98cd6784ed</t>
  </si>
  <si>
    <t xml:space="preserve">NIST-2021-0004-0086</t>
  </si>
  <si>
    <t xml:space="preserve">NIST/2021-16176/comments/comment_attachments/NIST-2021-0004-0086_1.md</t>
  </si>
  <si>
    <t xml:space="preserve">Lumen now operates the largest ultralow-loss, intercity fiber network in North America and the single most-peered IP network in the world,[9] employing approximately 25,000 team members.</t>
  </si>
  <si>
    <t xml:space="preserve">[best fuzzy score 82] …the bar to maintain the U.S. AI leadership position and highlight the strategic importance of recent onshoring and investment announcements, from the Stargate Project, [6](#page-1-2) DAMAC Properties, [7](#page-1-3) and others.[8](#page-1-4) to build the infrastructure necessary to continue U.S. progress in AI.
### **Lumen is Building the Backbone for the AI Economy**
Since February 2023, Lumen has been engaged in a far-reaching transformation strategy to cloudify its telecommunications business and adapt the company's national fiber network to meet the needs of hyperscalers and AI-driven en⟦terprises. Lumen now operates the largest ultralow-loss, intercity fiber network in North America and the single most-peered IP network in the
AI innovation by 2030. *See* WEF, Trans⟧forming industries with AI: Lessons from China's Journey, Jan. 23, 2025.
&lt;span id="page-1-0"&gt;&lt;/span&gt;&lt;sup&gt;4&lt;/sup&gt; *See* CNBC, Beijing Embraces DeepSeek to lead AI adoption as it looks for new growth drivers, Feb. 21, 2025.
&lt;span id="page-1-1"&gt;&lt;/span&gt;&lt;sup&gt;5&lt;/sup&gt; According to the Diplomat, China has significantly increased its subsidies and incentives for the semiconductor industry, AI development, and data centers, aiming to reduce reliance on U.S.-controlled technology and support domestic and global expansion. *See* The Diplomat, China Boosts Semiconductor Subsidies as US tightens restricti…</t>
  </si>
  <si>
    <t xml:space="preserve">95dd6aff-33c5-5475-9da2-cf5213093da2</t>
  </si>
  <si>
    <t xml:space="preserve">Lumen-AI-RFI-2025</t>
  </si>
  <si>
    <t xml:space="preserve">NSF/2025-02305/comments/comment_attachments/Lumen-AI-RFI-2025_1.md</t>
  </si>
  <si>
    <t xml:space="preserve">Cisco has also set the goal of training 25 million people on digital and cyber skills through the Networking Academy by 2032.[41]</t>
  </si>
  <si>
    <t xml:space="preserve">[best fuzzy score 66] …ersistent Access to U.S. Critical Infrastructure* (Feb. 7 2024), https://www.cisa.gov/news-events/cybersecurity-advisories/aa24-038a.
&lt;span id="page-12-2"&gt;&lt;/span&gt;&lt;sup&gt;39&lt;/sup&gt; Cisco Systems, Inc., *AI-Enabled ICT Workforce Consortium*, https://www.cisco.com/c/m/ai-enabled-ict-workforce-consortium.html (last visited March 11 2025).
&lt;span id="page-12-3"&gt;&lt;/span&gt;&lt;sup&gt;40&lt;/sup&gt; CyberSeek, *CyberSeek Highlights Persistent Cybersecurity Skills Shortage Despite Hiring Stabilization*, PR Newswire (Sept. 20 2023), https://www.prnewswire.com/news-releases/cyberseek-highlights-persistent-cybersecurity-sk⟦ills-shortage-despite-hiring-stabilization-302275849.html.
digital and cyber skills through the Networking Academy by 2032.[41](#page-13-0) Y⟧et, the skills gap in cybersecurity persists – and is likely to persist into the future unless we expand the pool of talent from which these roles can be filled.
The U.S. Government and private sector must work together to bridge the gap so that all workers can harness the power of AI and improve productivity. To that end, we support the Administration's efforts to train the U.S. workforce to ensure that American workers are prepared to integrate, manage, and interact with AI-enabled tools across all sectors. Cisco further recommends that the U.S. Government:
- Research AI's impact on key in…</t>
  </si>
  <si>
    <t xml:space="preserve">331bad1b-430c-597b-aaf5-a83c719e8e8b</t>
  </si>
  <si>
    <t xml:space="preserve">Jessica 'Zhanna' Malekos Smith, the , served as a Captain in the U.S. Air Force Judge Advocate General's Corps. Reuben Everett Cyber Scholar at Duke [University Law](https://law.duke.edu/fac/msmith/) School</t>
  </si>
  <si>
    <t xml:space="preserve">[best fuzzy score 79] …//www.hrw.org/sites/default/files/report_pdf/arms0818_web.pdf) nowhere near the [advancement](https://foreignpolicy.com/2019/02/13/no-the-pentagon-is-not-working-on-killer-robots-yet/amp/) needed save the lives of military personnel and civilians dull, dirty or [dangerous](https://wilsonquarterly.com/quarterly/winter-2009-robots-at-war/robots-at-war-the-new-battlefield/) [groups](https://www.stopkillerrobots.org/)
human dignity, and servicemembers who critically need automated assistance on the battleield.
The future of AI bears down upon each of us — let reason and ethics guide us there.
J⟦essica 'Zhanna' Malekos Smith, the , served as a Captain in the U.S. Air Force Judge Advocate General's Corps. Before that, she was a post-doctoral fellow at the Belfer C⟧enter's Cyber Security Project at the Harvard Kennedy School. She holds a J.D. from the University of California, Davis, a B.A. from Wellesley College, where she was a Fellow of the Madeleine Korbel Albright Institute for Global Affairs, and is inishing her M.A. with the Department of War Studies at King's College London. Reuben Everett Cyber Scholar at Duke [University Law](https://law.duke.edu/fac/msmith/) School
TAGS [DONALD](https://thehill.com/person/donald-trump) TRUMP ARTIFICIAL [INTELLIGENCE](https://thehill.com/social-tags/artificial-intelligence) [MILITARY](https://thehill.com/socia…</t>
  </si>
  <si>
    <t xml:space="preserve">dadf317f-c0ed-51fa-a390-9a034fe1745f</t>
  </si>
  <si>
    <t xml:space="preserve">NIST-2019-0001-0002</t>
  </si>
  <si>
    <t xml:space="preserve">NIST/2019-08818/comments/comment_attachments/NIST-2019-0001-0002_1.md</t>
  </si>
  <si>
    <t xml:space="preserve">As the FTC has recognized, "big data" can provide "numerous opportunities for improvements in society," including "more effectively matching products and services to consumers" and "helping target educational, credit, healthcare, and employment opportunities to low-income and underserved populations."104 In developing federal privacy legislation, Congress must build in flexibility to enable robust collection and use of data for these beneficial purposes.</t>
  </si>
  <si>
    <t xml:space="preserve">[best fuzzy score 78] …&gt;102&lt;/sup&gt; *See, e.g.*, *Virtual Listening Sessions on Personal Data: Privacy, Equity, and Civil Rights*, NTIA (Jan. 3, 2022), [https://www.ntia.doc.gov/other-publication/2022/ntia-virtual-listening](https://www.ntia.doc.gov/other-publication/2022/ntia-virtual-listening-sessions-personal-data-privacy-equity-and-civil-rights)[sessions-personal-data-privacy-equity-and-civil-rights;](https://www.ntia.doc.gov/other-publication/2022/ntia-virtual-listening-sessions-personal-data-privacy-equity-and-civil-rights) FTC Commercial Surveillance Rulemaking.
&lt;sup&gt;103&lt;/sup&gt; *See* Kelly Cole &amp; Tom Power, *Pr⟦otecting Consumers with Federal Privacy Legislation*, CTIA (Nov. 9, 2018), [https://www.ctia.org/news/protecting-consumers-with-federal-privacy](https://www.ctia.org/news/protecting-consumers-with-federal-privacy-legislation)[legislation.](https://www.ctia.org/news/protecting-consumers-with-federal-privacy-legislation)
services to consumers" and "helping target educational, credit, healthcare, and employment opportunities to low-income and underserved populations."&lt;sup&gt;104&lt;/sup&gt; In developing federal privacy legislation, Congress must build in flexibility to enable robust collection and use of data for these beneficial purposes.⟧
NIST should also recommend that Congress pass legislation that establishes a federal data breach notification standard based upon a reasonable risk that the breach will result in actual consumer harm, such as identity theft or other financial harm. As with federal privacy legislation, federal data breach legislation can eliminate fragmentation resulting from a patchwork of state laws and avoid consumer confusion as well as over-notification and warning fatigue.
#### &lt;span id="page-34-0"&gt;&lt;/span&gt;**VII. CONCLUSION**
CTIA is pleased to provide input to NIST as it investigates how to support gr…</t>
  </si>
  <si>
    <t xml:space="preserve">73cf3181-99bd-5b28-8eb0-83542ce8d2ed</t>
  </si>
  <si>
    <t xml:space="preserve">Imatag (https://hf.co/blog/imatag-vch/stable-signature-bzh), who specializes in digital watermarking and has demonstrated how to embed secure and robust invisible watermarks during the image generation process: https://huggingface.co/spaces/imatag/stable-signature-bzh</t>
  </si>
  <si>
    <t xml:space="preserve">[best fuzzy score 84] … FACE, INC.** 20 Jay Street, Suite 620 Brooklyn, NY 11201
![](_page_13_Picture_0.jpeg)
- **Truepic** ([https://hf.co/blog/alicia-truepic/identify-ai-generated-content\)](https://hf.co/blog/alicia-truepic/identify-ai-generated-content), a leading provider of authenticity infrastructure for the internet who has demonstrated how to:
  - a. Cryptographically secure metadata into any generated image using the open C2PA standard: &lt;https://huggingface.co/spaces/Truepic/ai-content-credentials&gt;
  - b. Generate "invisible QR codes" as image watermarks that can be used to retrieve further image metadat⟦a: &lt;https://huggingface.co/spaces/Truepic/watermarked-content-credentials&gt;
- **Imatag** ([https://hf.co/blog/imatag-vch/stable-signature-bzh\)](https://hf.co/blog/imatag-vch/stable-signature-bzh), who specializes in digital watermarking and has demonstrated how to embed secure and robust invisible watermarks during the image generation process: &lt;https://huggingface.co/spaces/imatag/stable-signature-bzh&gt;
#### &lt;span id="page-13-0"&gt;&lt;/span&gt;**Verifying the connection between data and models**
How t⟧o **verify** what data a model has been trained on is currently open research (see &lt;https://openreview.net/forum?id=TwLHB8sKme&gt;). While some developers may report the data they used, there are limited ways to prove whether this is true, or exhaustive.
&lt;span id="page-13-1"&gt;&lt;/span&gt;Measurable and repeatable mechanisms to assess or verify the effectiveness of such techniques and implementations.
Some approaches and resources that can serve as starting points for delving deeper into this include:
- **Bounty Catching**: The cybersecurity field has illustrated success in Bug Bounty Programs. Some …</t>
  </si>
  <si>
    <t xml:space="preserve">b40e5640-eb5f-5077-a7ec-1e37967a6a67</t>
  </si>
  <si>
    <t xml:space="preserve">Instead, a flexible risk-based framework adapted from that used by banks would be far more effective at both achieving dominance and mitigating potential harm.Moreover, such a law should take a different path than laws such as the EU AI Act[12] or the vetoed California bill SB 1047,[13] which are overly prescriptive and accordingly may discourage innovative practices such as fine-tuning existing LLMs.</t>
  </si>
  <si>
    <t xml:space="preserve">[best fuzzy score 77] …ystem participants would benefit from it as well.
### **IV. Recommendations for Policymakers**
ABA makes the following recommendations for inclusion in the Plan:
### A. Legislation
Congress must assert its leadership over this issue. Momentum is building for legislative action; if Congress does not act, the states will (and some have already). This patchwork of requirements would be burdensome to national companies and have adverse consequences to American dominance in this space.
Instead, Congress must pass comprehensive laws establishing an AI risk management framework with strong preem⟦ptions. These laws should create baseline standards that are not duplicative or inconsistent with the model risk management obligations of banks.
Moreover, such a law should take a different path than laws such as the EU AI Act[12](#page-8-0) or the vetoed California bill SB 1047,[13](#page-8-1) which are overly prescriptive and accordingly may discourage innovative practices such as fine-tuning existing LLMs. Instead, a f⟧lexible risk-based framework adapted from that used by banks would be far more effective at both achieving dominance and mitigating potential harm.
### B. Regulation
Regulators should identify clear regulatory outcomes and objectives, while enabling regulated entities the ability to deploy effective risk management techniques based on common sense and best practices.
Requirements of banks to examine and monitor third-party AI algorithms, training data, or performance are not possible without third party cooperation. Any rulemaking related to AI should leverage existing authorities to focus …</t>
  </si>
  <si>
    <t xml:space="preserve">8c8f83bb-a88a-5601-ba99-0baa0d76a927</t>
  </si>
  <si>
    <t xml:space="preserve">ABA-AI-RFI-2025</t>
  </si>
  <si>
    <t xml:space="preserve">NSF/2025-02305/comments/comment_attachments/ABA-AI-RFI-2025_1.md</t>
  </si>
  <si>
    <t xml:space="preserve">Solve rate on tasks by first solve time on Cybench, a set of 40 professional-level Capture the Flag cybersecurity 16 challenges</t>
  </si>
  <si>
    <t xml:space="preserve">[best fuzzy score 84] …-----------------------------------------------------------------------------------------------------------------------------------------------------------------------------------------------------------------------------------------------------------------------------------------------------------------------------------------------------------------------------------------------------------------------------------------------------------------------------------------------------------------------------------------------------------------------------------------------------------------|
| Cyb⟦er&lt;br&gt;attacks                                                          | ●&lt;br&gt;Solve&lt;br&gt;rate&lt;br&gt;on&lt;br&gt;tasks&lt;br&gt;by&lt;br&gt;first&lt;br&gt;solve&lt;br&gt;time&lt;br&gt;on&lt;br&gt;Cybench,&lt;br&gt;a&lt;br&gt;set&lt;br&gt;of&lt;br&gt;40&lt;br&gt;professional-level&lt;br&gt;Capture&lt;br&gt;the&lt;br&gt;Flag&lt;br&gt;cybersecurity&lt;br&gt;16&lt;br&gt;challenges&lt;br&gt;●&lt;br&gt;Precisio⟧n,&lt;br&gt;recall,&lt;br&gt;and&lt;br&gt;F1&lt;br&gt;score&lt;br&gt;on&lt;br&gt;eyeballvul,&lt;br&gt;a&lt;br&gt;benchmark&lt;br&gt;for&lt;br&gt;17&lt;br&gt;vulnerability&lt;br&gt;detection&lt;br&gt;Attack&lt;br&gt;success&lt;br&gt;rate&lt;br&gt;when&lt;br&gt;attempting&lt;br&gt;to&lt;br&gt;elicit&lt;br&gt;harmful&lt;br&gt;●&lt;br&gt;cybersecurity&lt;br&gt;information&lt;br&gt;from&lt;br&gt;the&lt;br&gt;model,&lt;br&gt;through&lt;br&gt;manual&lt;br&gt;or&lt;br&gt;automated&lt;br&gt;jailbreaking&lt;br&gt;●&lt;br&gt;Human&lt;br&gt;uplift&lt;br&gt;study&lt;br&gt;results&lt;br&gt;comparing&lt;br&gt;human&lt;br&gt;performance&lt;br&gt;on&lt;br&gt;cybersecurity&lt;br&gt;challenges&lt;br&gt;with&lt;br&gt;LLM&lt;br&gt;assistance&lt;br&gt;versus&lt;br&gt;without&lt;br&gt;(along&lt;br&gt;with&lt;br&gt;evaluation&lt;br&gt;methodology&lt;br&gt;such&lt;br&gt;as&lt;br&gt;types&lt;br&gt;of&lt;br&gt;questions,&lt;br&gt;participant&lt;br&gt;time,&lt;br&gt;p…</t>
  </si>
  <si>
    <t xml:space="preserve">d0e1e253-298f-5e38-b002-4cac83e3ed5f</t>
  </si>
  <si>
    <t xml:space="preserve">Global Market Value (2021) $5.5 billion [Ref 9]</t>
  </si>
  <si>
    <t xml:space="preserve">[best fuzzy score 61] …nternal components from high energy radiation).
Smart materials generally describe a mature area within materials science and what can be termed New and Advanced Materials. Four categories of smart materials are presented in the table below. The technologies in the table are not an exhaustive list of smart materials; they describe the four most mature technologies in that field.
| Smart Material&lt;br&gt;Category | Brief Description                                                                                  | Applications                                                                | Compan⟦ies                                                        | Global&lt;br&gt;Market&lt;br&gt;Value&lt;br&gt;(2021) | Projected&lt;br&gt;CAGR to⟧&lt;br&gt;2026 |
|----------------------------|----------------------------------------------------------------------------------------------------|-----------------------------------------------------------------------------|------------------------------------------------------------------|-------------------------------------|------------------------------|
| Shape memory&lt;br&gt;alloys     | Alloy that can be&lt;br&gt;deformed when&lt;br&gt;cold, but restored&lt;br&gt;to its initial&lt;br&gt;shape&lt;br&gt;when heated | Medicine,&lt;br&gt;remote sensing,&lt;br&gt;automotive,&lt;br&gt;aerospace                    | Memry&lt;br&gt;Corporation,&lt;br&gt;Fort Way…</t>
  </si>
  <si>
    <t xml:space="preserve">77d39c20-d863-52cb-b914-8484e6f75c7f</t>
  </si>
  <si>
    <t xml:space="preserve">NIST-2021-0007-0078</t>
  </si>
  <si>
    <t xml:space="preserve">NIST/2021-25428/comments/comment_attachments/NIST-2021-0007-0078_1.md</t>
  </si>
  <si>
    <t xml:space="preserve">However, it is critical to prioritize responsible siting of data centers and AI-related facilities, as these can have negative environmental impacts, including excessive water and land use, and high energy consumption, which could place unnecessary strain on Tribal resources.26</t>
  </si>
  <si>
    <t xml:space="preserve">[best fuzzy score 78] … solutions to technology conflicts&lt;sup&gt;24&lt;/sup&gt;
# &lt;span id="page-7-1"&gt;&lt;/span&gt;E. Overcome Barriers to AI Adoption by Investing in Strategic Infrastructure Development in Indian Country
Investing in AI infrastructure in Indian Country offers a transformative opportunity to empower Tribal Nations while strengthening U.S. AI competitiveness. With one in three Native Americans lacking reliable internet access and Tribal businesses serving as some of the largest employers in rural areas, AI infrastructure can bridge significant gaps in connectivity, job creation, and economic growth.&lt;sup&gt;25&lt;/sup&gt; ⟦However, it is critical to prioritize responsible siting of data centers and AI-related facilities, as these can have negative environmental impacts, including excessive water
Consult with Tribal Nations and Establish Policies and Guidance for Tribal Oversight of Data on Trib⟧al Citizens Enrolled in the All of Us Research Program").
&lt;sup&gt;23&lt;/sup&gt; Carroll, S. R., Rodriguez-Lonebear, D., &amp; Martinez, A. (2019). Indigenous data governance: Strategies from United States Native Nations. *Data Science Journal, 18*, 31–43. https://doi.org/10.5334/dsj-2019-031
&lt;sup&gt;24&lt;/sup&gt; European Parliament &amp; Council of the European Union. (2016). *Regulation (EU) 2016/679 on the protection of natural persons with regard to the processing of personal data and on the free movement of such data*. Official Journal of the European Union, L 119, 1–88. https://gdpr-info.eu/
&lt;sup&gt;25&lt;/sup&gt; Me…</t>
  </si>
  <si>
    <t xml:space="preserve">dd5eda5b-a15a-5579-8032-0373433ae0f8</t>
  </si>
  <si>
    <t xml:space="preserve">NCAI-AI-RFI-2025</t>
  </si>
  <si>
    <t xml:space="preserve">NSF/2025-02305/comments/comment_attachments/NCAI-AI-RFI-2025_1.md</t>
  </si>
  <si>
    <t xml:space="preserve">In the first Trump Administration, Executive Order 13859 on Maintaining American Leadership in Artificial Intelligence outlined how the "United States must drive the development of appropriate technical standards and reduce barriers to the safe testing and deployment of AI technologies in order to enable the creation of new AI-related industries and the adoption of AI by today's industries."3</t>
  </si>
  <si>
    <t xml:space="preserve">[best fuzzy score 82] …leverage injunctions and exclusionary relief to impose excessive, non-FRAND royalties on licensees. This behavior disadvantages U.S. companies, chills standards adoption by U.S. industry, inhibits technological innovation and harms the standardization process itself.
- **●** The United States should lead the way in curtailing such SEP abuse by supporting efforts here and abroad that decrease this behavior.
### **II. The Value of Standard Setting in AI Development and the Need for American Leadership**
The potential benefits of industry standardization for AI development are well recognized. ⟦In the first Trump Administration, Executive Order 13859 on Maintaining American Leadership in Artificial Intelligence outlined how the "United States must drive the development of appropriate technical standards and reduce barriers to the safe testing and deployment of AI
&lt;sup&gt;1&lt;/sup&gt; The consensus views expressed in this submission do not necessarily reflect the specific individual organizational posit⟧ions of each member.
For the purposes of this submission, "standardization" refers to the formal process of developing and establishing technical standards through Standards Development Organizations (SDOs) where contributions and FRAND commitments are voluntarily made.
technologies in order to enable the creation of new AI-related industries and the adoption of AI by today's industries."&lt;sup&gt;3&lt;/sup&gt;
Commerce Secretary Howard Lutnick recently testified at his confirmation hearing, standards are "the right model" for advancing American interests in AI: "Set those standards so the world heeds…</t>
  </si>
  <si>
    <t xml:space="preserve">26f88b2a-cc51-52d7-8011-4cd2690a8b2e</t>
  </si>
  <si>
    <t xml:space="preserve">AI-RFI-2025-2110</t>
  </si>
  <si>
    <t xml:space="preserve">NSF/2025-02305/comments/comment_attachments/AI-RFI-2025-2110_1.md</t>
  </si>
  <si>
    <t xml:space="preserve">Koshiyama et al. (2021)](https://deliverypdf.ssrn.com/delivery.php?ID=934115017026001117111083105076110087004000029032026050076123027006092109102106112100121056010047106017007064017065072065019079061005033048047069000066126115104126072086015001004099119088027016001009089012072110030104095103083019125025069110075023123008&amp;EXT=pdf&amp;INDEX=TRUE) provide a helpful overview of some of these interactions, with imperatives on algorithmic explainability often conflicting with actions taken to preserve the model's privacy.</t>
  </si>
  <si>
    <t xml:space="preserve">[best fuzzy score 43] …th the use of LLMs, particularly due to their high environmental footprint
As the AI 100-1 is developed, we urge NIST to leverage such risk typologies to inform its approach. However, nuances depending on the context of deployment must also be taken into account. For example, operationalizing bias mitigation in the medical context (where individual differences based on protected characteristics are pivotal to providing effective and appropriate diagnoses and treatments) may run counter to bias mitigation strategies in non-medical fields, such as in the case of employment and job screening alg⟦orithms where the objective is largely to remove the influence of protected characteristics.
Further, when operationalizing algorithmic risk management and mitigation strategies, trade-offs between risk parameters may occur as, indeed, these are not mutually exclusive – they overlap and interact. [Koshiyama et al. \(2021\)](https://deliverypdf.ssrn.com/delivery.php?ID=934115017026001117111083105076110087004000029032026050076123027006092109102106112100121056010047106017007064017065072065019079061005033048047069000066126115104126072086015001004099119088027016001009089012072110030104095103083019125025069110075023123008&amp;EXT=pdf&amp;INDEX=TRUE) provide a helpful overview of some of these interactions, with imperatives on algorithmic explainability often conflicting with actions taken to preserve the model's privacy. However, different ⟧risk parameters may be mutually reinforcing, such as instances wherein improving a system's interpretability leads to [enlarged apertures](https://deliverypdf.ssrn.com/delivery.php?ID=934115017026001117111083105076110087004000029032026050076123027006092109102106112100121056010047106017007064017065072065019079061005033048047069000066126115104126072086015001004099119088027016001009089012072110030104095103083019125025069110075023123008&amp;EXT=pdf&amp;INDEX=TRUE) for bias mitigation.
Finally, risks can also be intersectional – with harmful model outputs often interweaving representational harms (based o…</t>
  </si>
  <si>
    <t xml:space="preserve">51fa0983-6bc9-50a4-9833-08a57de2e985</t>
  </si>
  <si>
    <t xml:space="preserve">NIST-2023-0009-0095</t>
  </si>
  <si>
    <t xml:space="preserve">NIST/2023-28232/comments/comment_attachments/NIST-2023-0009-0095_1.md</t>
  </si>
  <si>
    <t xml:space="preserve">Artificial intelligence (AI) has the makings of a general-purpose technology (GPT) that could usher in a new industrial revolution.2</t>
  </si>
  <si>
    <t xml:space="preserve">[best fuzzy score 76] …on on the development of the Artificial Intelligence (AI) Action Plan. In my comment, I seek to draw attention to an issue that significantly impacts AI development: copyright law. This comment is adapted from a recent paper I co-authored with Tim Hwang, titled: "Copyright AI, and Great Power Competition."&lt;sup&gt;1&lt;/sup&gt;
**This document is approved for public dissemination. The document contains no business-proprietary or confidential information. Document contents may be reused by the government in developing the AI Action Plan and associated documents without attribution.** 
# **1. Introducti⟦on**
Artificial intelligence (AI) has the makings of a general-purpose technology (GPT)
&lt;sup&gt;1&lt;/sup&gt; Joshua Levine, Tim Hwang, "Copyright, AI, and⟧ Great Power Competition," Foundation for American Innovation, (January, 2025),
https://www.thefai.org/posts/copyright-ai-and-great-power-competition.
that could usher in a new industrial revolution.&lt;sup&gt;2&lt;/sup&gt; As a GPT, AI can be diffused into existing processes while creating new products, services, and markets. This has significant implications for national soft power (economic strength, technological adoption, cultural impact) and hard power (military capabilities, statecraft, national sovereignty, and geopolitical competition).
The most significant geopolitical AI competition is betwe…</t>
  </si>
  <si>
    <t xml:space="preserve">9497d96a-b164-5d1d-9410-1045b9e05b49</t>
  </si>
  <si>
    <t xml:space="preserve">AI-RFI-2025-2282</t>
  </si>
  <si>
    <t xml:space="preserve">NSF/2025-02305/comments/comment_attachments/AI-RFI-2025-2282_1.md</t>
  </si>
  <si>
    <t xml:space="preserve">To address the need to define rules for maintenance and review of this new Open Source AI Definition, the OSI Board of Directors 20 approved the creation of a new committee to oversee the development of the Open Source AI Definition, approve version 1.0, and set rules for the maintenance of Definition.</t>
  </si>
  <si>
    <t xml:space="preserve">[best fuzzy score 75] …ving to ask for permission.
- Study how the system works and inspect its components.
- Modify the system for any purpose, including to change its output.
- Share the system for others to use with or without modifications, for any purpose.
Precondition to exercise these freedoms is to have access to the preferred form to make modifications to the system. 19
The OSI expects to wrap up and report the outcome of in-person and online meetings and anticipates having the draft endorsed by at least 5 reps for each of the stakeholder groups with a formal announcement of the results in late October.
⟦To address the need to define rules for maintenance and review of this new Open Source AI Definition, the OSI Board of Directors &lt;sup&gt;20&lt;/sup&gt; approved the creation of a new committee to
&lt;sup&gt;19&lt;/sup&gt; The latest drafts can always be found on [opensource.org/deepdive/drafts.](http://opensource.org/deepdive/drafts)
&lt;sup&gt;20&lt;/sup&gt; The OSI is managed by a member-elected board of director⟧s that is the ultimate authority responsible for the organization. More information on the OSI board and governance can be found at: [https://opensource.org/board.](https://opensource.org/board)
oversee the development of the Open Source AI Definition, approve version 1.0, and set rules for the maintenance of Definition.
Some preliminary observations based on these efforts to date:
- It is generally recognized, as indicated above, that the Open Source Definition as created for software does not completely cover this new era of Open Source AI. This is not a software-only issue and is not som…</t>
  </si>
  <si>
    <t xml:space="preserve">cb580294-45e4-5c83-8d78-552ff14c35f2</t>
  </si>
  <si>
    <t xml:space="preserve">NTIA-2023-0009-0223</t>
  </si>
  <si>
    <t xml:space="preserve">NTIA/2024-03763/comments/comment_attachments/NTIA-2023-0009-0223_1.md</t>
  </si>
  <si>
    <t xml:space="preserve">Even the most sophisticated entities have been subject to breaches [(https://www.npr.org/2021/04/16/985439655/a-worst-nightmare-cyberattack-the-untold-story-of-the-solarwinds-hack,)[nightmare-cyberattack-the-untold-story-of-the-solarwinds-hack,](https://www.npr.org/2021/04/16/985439655/a-worst-nightmare-cyberattack-the-untold-story-of-the-solarwinds-hack,) [https://www.businessinsider.com/stolen-data-of-533-million-facebook-users-leaked-online-](https://www.npr.org/2021/04/16/985439655/a-worst-nightmare-cyberattack-the-untold-story-of-the-solarwinds-hack,)[2021-4;](https://www.npr.org/2021/04/16/985439655/a-worst-nightmare-cyberattack-the-untold-story-of-the-solarwinds-hack,) last visited June 12, 2023).</t>
  </si>
  <si>
    <t xml:space="preserve">[best fuzzy score 83] …odel's access to sensitive information that the model does not require to serve its purpose. New tools can solve this problem, but developers need guidance and incentives to use them.
Many AI models are trained on and operate on highly sensitive information. Examples include computer vision models operating on feeds from security cameras, diagnostic AI models operating on medical records, natural-language processing models operating on trade secrets or personally identifiable information in corporate email or document repositories, and the like.
Yet this data is in peril. Data breaches are a⟦ fact of modern life. Even the most sophisticated entities have been subject to breaches [\(https://www.npr.org/2021/04/16/985439655/a-worst](https://www.npr.org/2021/04/16/985439655/a-worst-nightmare-cyberattack-the-untold-story-of-the-solarwinds-hack,)[nightmare-cyberattack-the-untold-story-of-the-solarwinds-hack,](https://www.npr.org/2021/04/16/985439655/a-worst-nightmare-cyberattack-the-untold-story-of-the-solarwinds-hack,)  [https://www.businessinsider.com/stolen-data-of-533-million-facebook-users-leaked-online-](https://www.npr.org/2021/04/16/985439655/a-worst-nightmare-cyberattack-the-untold-story-of-the-solarwinds-hack,)[2021-4;](https://www.npr.org/2021/04/16/985439655/a-worst-nightmare-cyberattack-the-untold-story-of-the-solarwinds-hack,) last visited June 12, 2023).
It is, thus, critical to minimize the att⟧ack surface of AI systems, by limiting such models' access to unnecessary, sensitive information. Data that does not exist within an AI system cannot be leaked by a breach of that system. These models are currently flooded with sensitive information that they do not require to operate or be trained on. Developers casually send raw data from sensors at the edge to centralized AI systems, creating attractive targets for threat actors, without implementing mathematically proven techniques to mitigate risk.
New algorithmic approaches, like those offered by Protopia AI, transform data at the sourc…</t>
  </si>
  <si>
    <t xml:space="preserve">6d579173-ec0c-5f27-9bc9-d0315fcb9623</t>
  </si>
  <si>
    <t xml:space="preserve">NTIA-2023-0005-1342</t>
  </si>
  <si>
    <t xml:space="preserve">NTIA/2023-07776/comments/comment_attachments/NTIA-2023-0005-1342_1.md</t>
  </si>
  <si>
    <t xml:space="preserve">For example, a recent paper defines an open foundation model as one that (i) must provide weights-level access; (ii) need not be accompanied by the open release of any other assets; (iii) must be widely available, though some restrictions on users may apply; (iv) need not be released in stages, and (v) may have use restrictions.[12]</t>
  </si>
  <si>
    <t xml:space="preserve">[best fuzzy score 83] … separating concepts such as staged releases, the availability of companion assets, and license terms from the definitions themselves. For example, a recent paper defines an open foundation model as one that (i) must provide weights-
![](_page_4_Picture_6.jpeg)
&lt;span id="page-4-0"&gt;&lt;/span&gt;&lt;sup&gt;11&lt;/sup&gt; Aspen Institute, Global Cybersecurity Group, *Generative A.I. Regulation and Cybersecurity: A Global View of Policymaking*, at 6 (Jan. 2024), https://www.aspendigital.org/wp-content/uploads/2024/01/Aspen-Digital\_Generative-AI-Regulation-and-Cybersecurity\_January-2024.pdf ("Mandating data set ⟦openness, human oversight, and transparency in commercial generative models can reduce risks.").
level access; (ii) need not be accompanied by the open release of any other assets; (iii) must be widely available, though some restrictions on users may apply; (iv) need not be released in stages, and (v) may have use restrictions.[12](#page-5-0) ⟧But the definition does not mention the role of open training data. President Biden's recent Executive Order on artificial intelligence similarly focuses heavily on the model weights of dual-use foundation models.[13](#page-5-1) Training data is fundamental to the operation of foundation models. Understanding what data is being used and how it is being used to train models is critical to assessing and mitigating risks. Accordingly, our definition acknowledges the importance not only of access to the weights used within a model but also to the training data.
Influential organizations in the op…</t>
  </si>
  <si>
    <t xml:space="preserve">f2c45d90-ed83-5858-a4e7-221f493aef1b</t>
  </si>
  <si>
    <t xml:space="preserve">In the case of privacy protection, for example, such approaches, including those known as "privacy by design,"[13] have improved the overall design and development processes of data management.</t>
  </si>
  <si>
    <t xml:space="preserve">[best fuzzy score 68] …izations adhere to their public commitments.
## *C. Internal Testing and Impact Assessments*
In addition to transparent disclosure of how AI systems work and the development of standards for trusted AI, entities must engage in periodic testing and assessment of AI systems that pose a notable risk to the legal rights of consumers or citizens. This means, for example, that where safety, financial consequences, or illegal discrimination are reasonably possible on account of AI systems, those implementing such systems should adopt regular testing and auditing that evaluates such possible risks. ⟦In the case of privacy protection, for example, such approaches, including those known as "privacy by
&lt;span id="page-3-0"&gt;&lt;/span&gt;&lt;sup&gt;10&lt;/sup&gt; *See LEED Rating System*,&lt;https://www.usgbc.org/leed&gt; (last visited May 23, 2023).
&lt;span id="page-3-1"&gt;&lt;/span&gt;&lt;sup&gt;11&lt;/sup&gt; *See, e.g.,* V.S.A. § 5022 (b)(1) an⟧d Final Report, Artificial Intelligence Task Force, at 17-19, Jan. 15, 2020, *available at*:
[https://outside.vermont.gov/agency/ACCD/ACCD\\_Web\\_Docs/ED/MajorInitiatves/ArtificialIntelligenceTaskFo](https://outside.vermont.gov/agency/ACCD/ACCD_Web_Docs/ED/MajorInitiatves/ArtificialIntelligenceTaskForce/FinalReport.pdf)
&lt;span id="page-3-2"&gt;&lt;/span&gt;[rce/FinalReport.pdf.](https://outside.vermont.gov/agency/ACCD/ACCD_Web_Docs/ED/MajorInitiatves/ArtificialIntelligenceTaskForce/FinalReport.pdf) 12 For one discussion of this effort, see Philip J. Weiser, *Entrepreneurial Administration*, 97 B.U. L…</t>
  </si>
  <si>
    <t xml:space="preserve">7a227f91-0bc7-5fde-99fd-aee6fba11075</t>
  </si>
  <si>
    <t xml:space="preserve">NTIA-2023-0005-1248</t>
  </si>
  <si>
    <t xml:space="preserve">NTIA/2023-07776/comments/comment_attachments/NTIA-2023-0005-1248_1.md</t>
  </si>
  <si>
    <t xml:space="preserve">While there is some evidence that the cross-lingual transfer assumption holds for etymologically similar languages,  practitioners and standards entities such as NIST ought not assume that large language models have inferred universal rules of language to a degree sufficient to be confident that the results of safety evaluations and mitigation actions will hold across linguistic contexts.</t>
  </si>
  <si>
    <t xml:space="preserve">[best fuzzy score 74] …guages — but to test that, they simply used a machine translated version of a popular English-language benchmark, MMLU (OpenAI. "GPT-4 System Card," March 23, 2023.
[https://cdn.openai.com/papers/gpt-4-system-card.pdf\)](https://cdn.openai.com/papers/gpt-4-system-card.pdf). Google tested their Gemini model's non-English performance only on the basic, decontextual tasks of answering math word problems and summarizing text. (Gemini Team Google. "Gemini: A Family of Highly Capable Multimodal Models," December 19, 2023, &lt;https://doi.org/10.48550/arXiv.2312.11805&gt;).
&lt;sup&gt;19&lt;/sup&gt; Juuso Eronen, Mi⟦chał Ptaszyński, and Fumito Masui, "Zero-Shot Cross-Lingual Transfer Language Selection Using Linguistic Similarity," *Information Processing and Management* 60, no. 3 (May 1, 2023): 103250, &lt;https://doi.org/10.1016/j.ipm.2022.103250&gt;
![](_page_8_Picture_0.jpeg)
large language models have inferred universal rules of language to a degree sufficient to be confident that the results of safety evaluations and mitigation actions will hold across linguistic contexts.
T⟧his gap is meaningful for several reasons. First, the inability to accurately detect safety issues in one language may create vulnerabilities for all languages*.* Research has shown that some English-language AI safety mitigations can be circumvented by prompting a model in a non-English language. &lt;sup&gt;20&lt;/sup&gt; A lack of language-specific benchmarks and overreliance on machine translation makes identifying these gaps even more of a challenge. Second, downstream users may take foundation model developers at their word that models work in languages they do not. If downstream application develope…</t>
  </si>
  <si>
    <t xml:space="preserve">f211f16a-9341-5666-bb29-002a900a6e19</t>
  </si>
  <si>
    <t xml:space="preserve">n</t>
  </si>
  <si>
    <t xml:space="preserve">labelled</t>
  </si>
  <si>
    <t xml:space="preserve">match Y</t>
  </si>
  <si>
    <t xml:space="preserve">match Y rate</t>
  </si>
  <si>
    <t xml:space="preserve">prev Y rate</t>
  </si>
  <si>
    <t xml:space="preserve">next Y rate</t>
  </si>
  <si>
    <t xml:space="preserve">truly absent rate</t>
  </si>
  <si>
    <t xml:space="preserve">ALL</t>
  </si>
  <si>
    <t xml:space="preserve">Rates exclude blank and NA labels. Rows are strata from the generator (see Instructions); 'match Y rate' treats Partial as not correct.</t>
  </si>
</sst>
</file>

<file path=xl/styles.xml><?xml version="1.0" encoding="utf-8"?>
<styleSheet xmlns="http://schemas.openxmlformats.org/spreadsheetml/2006/main">
  <numFmts count="2">
    <numFmt numFmtId="164" formatCode="General"/>
    <numFmt numFmtId="165" formatCode="0.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sz val="10"/>
      <name val="Arial"/>
      <family val="2"/>
    </font>
    <font>
      <i val="true"/>
      <sz val="9"/>
      <name val="Arial"/>
      <family val="0"/>
      <charset val="1"/>
    </font>
  </fonts>
  <fills count="4">
    <fill>
      <patternFill patternType="none"/>
    </fill>
    <fill>
      <patternFill patternType="gray125"/>
    </fill>
    <fill>
      <patternFill patternType="solid">
        <fgColor rgb="FFD9D9D9"/>
        <bgColor rgb="FFBFBFB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D9D9"/>
          <bgColor rgb="FF000000"/>
        </patternFill>
      </fill>
    </dxf>
    <dxf>
      <fill>
        <patternFill patternType="solid">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5" min="2" style="0" width="4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1" t="s">
        <v>11</v>
      </c>
    </row>
    <row r="17" customFormat="false" ht="15" hidden="false" customHeight="false" outlineLevel="0" collapsed="false">
      <c r="A17" s="1" t="s">
        <v>12</v>
      </c>
      <c r="B17" s="1" t="s">
        <v>13</v>
      </c>
      <c r="C17" s="1" t="s">
        <v>14</v>
      </c>
      <c r="D17" s="1" t="s">
        <v>15</v>
      </c>
      <c r="E17" s="1" t="s">
        <v>16</v>
      </c>
      <c r="F17" s="1" t="s">
        <v>17</v>
      </c>
      <c r="G17" s="1" t="s">
        <v>18</v>
      </c>
      <c r="H17" s="1" t="s">
        <v>19</v>
      </c>
      <c r="I17" s="1" t="s">
        <v>20</v>
      </c>
      <c r="J17" s="1" t="s">
        <v>21</v>
      </c>
    </row>
    <row r="18" customFormat="false" ht="46.25" hidden="false" customHeight="false" outlineLevel="0" collapsed="false">
      <c r="A18" s="3" t="s">
        <v>22</v>
      </c>
      <c r="B18" s="3" t="s">
        <v>23</v>
      </c>
      <c r="C18" s="3" t="s">
        <v>24</v>
      </c>
      <c r="D18" s="3" t="s">
        <v>23</v>
      </c>
      <c r="E18" s="3" t="s">
        <v>25</v>
      </c>
      <c r="F18" s="3" t="s">
        <v>26</v>
      </c>
      <c r="G18" s="3" t="s">
        <v>26</v>
      </c>
      <c r="H18" s="3" t="s">
        <v>26</v>
      </c>
      <c r="I18" s="3" t="s">
        <v>27</v>
      </c>
      <c r="J18" s="3" t="s">
        <v>28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4"/>
    <col collapsed="false" customWidth="true" hidden="false" outlineLevel="0" max="4" min="4" style="0" width="9"/>
    <col collapsed="false" customWidth="true" hidden="false" outlineLevel="0" max="5" min="5" style="0" width="7"/>
    <col collapsed="false" customWidth="true" hidden="false" outlineLevel="0" max="6" min="6" style="0" width="10"/>
    <col collapsed="false" customWidth="true" hidden="false" outlineLevel="0" max="7" min="7" style="0" width="45"/>
    <col collapsed="false" customWidth="true" hidden="false" outlineLevel="0" max="8" min="8" style="0" width="40"/>
    <col collapsed="false" customWidth="true" hidden="false" outlineLevel="0" max="9" min="9" style="0" width="45"/>
    <col collapsed="false" customWidth="true" hidden="false" outlineLevel="0" max="10" min="10" style="0" width="40"/>
    <col collapsed="false" customWidth="true" hidden="false" outlineLevel="0" max="12" min="11" style="0" width="12"/>
    <col collapsed="false" customWidth="true" hidden="false" outlineLevel="0" max="13" min="13" style="0" width="70"/>
    <col collapsed="false" customWidth="true" hidden="false" outlineLevel="0" max="17" min="14" style="0" width="12"/>
    <col collapsed="false" customWidth="true" hidden="false" outlineLevel="0" max="18" min="18" style="0" width="30"/>
    <col collapsed="false" customWidth="true" hidden="false" outlineLevel="0" max="19" min="19" style="0" width="38"/>
    <col collapsed="false" customWidth="true" hidden="false" outlineLevel="0" max="20" min="20" style="0" width="22"/>
    <col collapsed="false" customWidth="true" hidden="false" outlineLevel="0" max="21" min="21" style="0" width="40"/>
  </cols>
  <sheetData>
    <row r="1" customFormat="false" ht="35.05" hidden="false" customHeight="false" outlineLevel="0" collapsed="false">
      <c r="A1" s="4" t="s">
        <v>29</v>
      </c>
      <c r="B1" s="4" t="s">
        <v>12</v>
      </c>
      <c r="C1" s="4" t="s">
        <v>30</v>
      </c>
      <c r="D1" s="4" t="s">
        <v>31</v>
      </c>
      <c r="E1" s="4" t="s">
        <v>32</v>
      </c>
      <c r="F1" s="4" t="s">
        <v>33</v>
      </c>
      <c r="G1" s="4" t="s">
        <v>13</v>
      </c>
      <c r="H1" s="4" t="s">
        <v>14</v>
      </c>
      <c r="I1" s="4" t="s">
        <v>15</v>
      </c>
      <c r="J1" s="4" t="s">
        <v>16</v>
      </c>
      <c r="K1" s="4" t="s">
        <v>34</v>
      </c>
      <c r="L1" s="4" t="s">
        <v>35</v>
      </c>
      <c r="M1" s="4" t="s">
        <v>36</v>
      </c>
      <c r="N1" s="5" t="s">
        <v>17</v>
      </c>
      <c r="O1" s="5" t="s">
        <v>18</v>
      </c>
      <c r="P1" s="5" t="s">
        <v>19</v>
      </c>
      <c r="Q1" s="5" t="s">
        <v>20</v>
      </c>
      <c r="R1" s="5" t="s">
        <v>21</v>
      </c>
      <c r="S1" s="4" t="s">
        <v>37</v>
      </c>
      <c r="T1" s="4" t="s">
        <v>38</v>
      </c>
      <c r="U1" s="4" t="s">
        <v>39</v>
      </c>
    </row>
    <row r="2" customFormat="false" ht="225.35" hidden="false" customHeight="false" outlineLevel="0" collapsed="false">
      <c r="A2" s="6" t="n">
        <v>1</v>
      </c>
      <c r="B2" s="6" t="s">
        <v>22</v>
      </c>
      <c r="C2" s="6" t="s">
        <v>22</v>
      </c>
      <c r="D2" s="6" t="n">
        <v>100</v>
      </c>
      <c r="E2" s="6" t="n">
        <v>1</v>
      </c>
      <c r="F2" s="6" t="s">
        <v>40</v>
      </c>
      <c r="G2" s="6" t="s">
        <v>41</v>
      </c>
      <c r="H2" s="6" t="s">
        <v>42</v>
      </c>
      <c r="I2" s="6" t="s">
        <v>41</v>
      </c>
      <c r="J2" s="6" t="s">
        <v>43</v>
      </c>
      <c r="K2" s="6"/>
      <c r="L2" s="6"/>
      <c r="M2" s="6" t="s">
        <v>44</v>
      </c>
      <c r="N2" s="7"/>
      <c r="O2" s="7"/>
      <c r="P2" s="7"/>
      <c r="Q2" s="7"/>
      <c r="R2" s="7"/>
      <c r="S2" s="6" t="s">
        <v>45</v>
      </c>
      <c r="T2" s="6" t="s">
        <v>46</v>
      </c>
      <c r="U2" s="6" t="s">
        <v>47</v>
      </c>
    </row>
    <row r="3" customFormat="false" ht="337.3" hidden="false" customHeight="false" outlineLevel="0" collapsed="false">
      <c r="A3" s="6" t="n">
        <v>2</v>
      </c>
      <c r="B3" s="6" t="s">
        <v>22</v>
      </c>
      <c r="C3" s="6" t="s">
        <v>22</v>
      </c>
      <c r="D3" s="6" t="n">
        <v>100</v>
      </c>
      <c r="E3" s="6" t="n">
        <v>1</v>
      </c>
      <c r="F3" s="6" t="s">
        <v>40</v>
      </c>
      <c r="G3" s="6" t="s">
        <v>48</v>
      </c>
      <c r="H3" s="6"/>
      <c r="I3" s="6" t="s">
        <v>49</v>
      </c>
      <c r="J3" s="6"/>
      <c r="K3" s="6" t="s">
        <v>50</v>
      </c>
      <c r="L3" s="6" t="s">
        <v>50</v>
      </c>
      <c r="M3" s="6" t="s">
        <v>51</v>
      </c>
      <c r="N3" s="7"/>
      <c r="O3" s="7"/>
      <c r="P3" s="7"/>
      <c r="Q3" s="7"/>
      <c r="R3" s="7"/>
      <c r="S3" s="6" t="s">
        <v>52</v>
      </c>
      <c r="T3" s="6" t="s">
        <v>53</v>
      </c>
      <c r="U3" s="6" t="s">
        <v>54</v>
      </c>
    </row>
    <row r="4" customFormat="false" ht="303.7" hidden="false" customHeight="false" outlineLevel="0" collapsed="false">
      <c r="A4" s="6" t="n">
        <v>3</v>
      </c>
      <c r="B4" s="6" t="s">
        <v>22</v>
      </c>
      <c r="C4" s="6" t="s">
        <v>22</v>
      </c>
      <c r="D4" s="6" t="n">
        <v>100</v>
      </c>
      <c r="E4" s="6" t="n">
        <v>1</v>
      </c>
      <c r="F4" s="6" t="s">
        <v>40</v>
      </c>
      <c r="G4" s="6" t="s">
        <v>55</v>
      </c>
      <c r="H4" s="6" t="s">
        <v>56</v>
      </c>
      <c r="I4" s="6" t="s">
        <v>55</v>
      </c>
      <c r="J4" s="6" t="s">
        <v>57</v>
      </c>
      <c r="K4" s="6"/>
      <c r="L4" s="6"/>
      <c r="M4" s="6" t="s">
        <v>58</v>
      </c>
      <c r="N4" s="7"/>
      <c r="O4" s="7"/>
      <c r="P4" s="7"/>
      <c r="Q4" s="7"/>
      <c r="R4" s="7"/>
      <c r="S4" s="6" t="s">
        <v>59</v>
      </c>
      <c r="T4" s="6" t="s">
        <v>60</v>
      </c>
      <c r="U4" s="6" t="s">
        <v>61</v>
      </c>
    </row>
    <row r="5" customFormat="false" ht="214.15" hidden="false" customHeight="false" outlineLevel="0" collapsed="false">
      <c r="A5" s="6" t="n">
        <v>4</v>
      </c>
      <c r="B5" s="6" t="s">
        <v>22</v>
      </c>
      <c r="C5" s="6" t="s">
        <v>22</v>
      </c>
      <c r="D5" s="6" t="n">
        <v>100</v>
      </c>
      <c r="E5" s="6" t="n">
        <v>1</v>
      </c>
      <c r="F5" s="6" t="s">
        <v>40</v>
      </c>
      <c r="G5" s="6" t="s">
        <v>62</v>
      </c>
      <c r="H5" s="6" t="s">
        <v>63</v>
      </c>
      <c r="I5" s="6" t="s">
        <v>64</v>
      </c>
      <c r="J5" s="6" t="s">
        <v>65</v>
      </c>
      <c r="K5" s="6"/>
      <c r="L5" s="6"/>
      <c r="M5" s="6" t="s">
        <v>66</v>
      </c>
      <c r="N5" s="7"/>
      <c r="O5" s="7"/>
      <c r="P5" s="7"/>
      <c r="Q5" s="7"/>
      <c r="R5" s="7"/>
      <c r="S5" s="6" t="s">
        <v>67</v>
      </c>
      <c r="T5" s="6" t="s">
        <v>68</v>
      </c>
      <c r="U5" s="6" t="s">
        <v>69</v>
      </c>
    </row>
    <row r="6" customFormat="false" ht="292.5" hidden="false" customHeight="false" outlineLevel="0" collapsed="false">
      <c r="A6" s="6" t="n">
        <v>5</v>
      </c>
      <c r="B6" s="6" t="s">
        <v>22</v>
      </c>
      <c r="C6" s="6" t="s">
        <v>22</v>
      </c>
      <c r="D6" s="6" t="n">
        <v>100</v>
      </c>
      <c r="E6" s="6" t="n">
        <v>1</v>
      </c>
      <c r="F6" s="6" t="s">
        <v>40</v>
      </c>
      <c r="G6" s="6" t="s">
        <v>70</v>
      </c>
      <c r="H6" s="6" t="s">
        <v>71</v>
      </c>
      <c r="I6" s="6" t="s">
        <v>72</v>
      </c>
      <c r="J6" s="6" t="s">
        <v>73</v>
      </c>
      <c r="K6" s="6"/>
      <c r="L6" s="6"/>
      <c r="M6" s="6" t="s">
        <v>74</v>
      </c>
      <c r="N6" s="7"/>
      <c r="O6" s="7"/>
      <c r="P6" s="7"/>
      <c r="Q6" s="7"/>
      <c r="R6" s="7"/>
      <c r="S6" s="6" t="s">
        <v>75</v>
      </c>
      <c r="T6" s="6" t="s">
        <v>76</v>
      </c>
      <c r="U6" s="6" t="s">
        <v>77</v>
      </c>
    </row>
    <row r="7" customFormat="false" ht="348.5" hidden="false" customHeight="false" outlineLevel="0" collapsed="false">
      <c r="A7" s="6" t="n">
        <v>6</v>
      </c>
      <c r="B7" s="6" t="s">
        <v>22</v>
      </c>
      <c r="C7" s="6" t="s">
        <v>22</v>
      </c>
      <c r="D7" s="6" t="n">
        <v>100</v>
      </c>
      <c r="E7" s="6" t="n">
        <v>1</v>
      </c>
      <c r="F7" s="6" t="s">
        <v>40</v>
      </c>
      <c r="G7" s="6" t="s">
        <v>78</v>
      </c>
      <c r="H7" s="6"/>
      <c r="I7" s="6" t="s">
        <v>79</v>
      </c>
      <c r="J7" s="6" t="s">
        <v>80</v>
      </c>
      <c r="K7" s="6" t="s">
        <v>50</v>
      </c>
      <c r="L7" s="6"/>
      <c r="M7" s="6" t="s">
        <v>81</v>
      </c>
      <c r="N7" s="7"/>
      <c r="O7" s="7"/>
      <c r="P7" s="7"/>
      <c r="Q7" s="7"/>
      <c r="R7" s="7"/>
      <c r="S7" s="6" t="s">
        <v>82</v>
      </c>
      <c r="T7" s="6" t="s">
        <v>83</v>
      </c>
      <c r="U7" s="6" t="s">
        <v>84</v>
      </c>
    </row>
    <row r="8" customFormat="false" ht="225.35" hidden="false" customHeight="false" outlineLevel="0" collapsed="false">
      <c r="A8" s="6" t="n">
        <v>7</v>
      </c>
      <c r="B8" s="6" t="s">
        <v>22</v>
      </c>
      <c r="C8" s="6" t="s">
        <v>22</v>
      </c>
      <c r="D8" s="6" t="n">
        <v>100</v>
      </c>
      <c r="E8" s="6" t="n">
        <v>1</v>
      </c>
      <c r="F8" s="6" t="s">
        <v>40</v>
      </c>
      <c r="G8" s="6" t="s">
        <v>85</v>
      </c>
      <c r="H8" s="6" t="s">
        <v>86</v>
      </c>
      <c r="I8" s="6" t="s">
        <v>85</v>
      </c>
      <c r="J8" s="6" t="s">
        <v>87</v>
      </c>
      <c r="K8" s="6"/>
      <c r="L8" s="6"/>
      <c r="M8" s="6" t="s">
        <v>88</v>
      </c>
      <c r="N8" s="7"/>
      <c r="O8" s="7"/>
      <c r="P8" s="7"/>
      <c r="Q8" s="7"/>
      <c r="R8" s="7"/>
      <c r="S8" s="6" t="s">
        <v>89</v>
      </c>
      <c r="T8" s="6" t="s">
        <v>90</v>
      </c>
      <c r="U8" s="6" t="s">
        <v>91</v>
      </c>
    </row>
    <row r="9" customFormat="false" ht="314.9" hidden="false" customHeight="false" outlineLevel="0" collapsed="false">
      <c r="A9" s="6" t="n">
        <v>8</v>
      </c>
      <c r="B9" s="6" t="s">
        <v>22</v>
      </c>
      <c r="C9" s="6" t="s">
        <v>22</v>
      </c>
      <c r="D9" s="6" t="n">
        <v>100</v>
      </c>
      <c r="E9" s="6" t="n">
        <v>1</v>
      </c>
      <c r="F9" s="6" t="s">
        <v>40</v>
      </c>
      <c r="G9" s="6" t="s">
        <v>92</v>
      </c>
      <c r="H9" s="6" t="s">
        <v>93</v>
      </c>
      <c r="I9" s="6" t="s">
        <v>94</v>
      </c>
      <c r="J9" s="6" t="s">
        <v>95</v>
      </c>
      <c r="K9" s="6"/>
      <c r="L9" s="6"/>
      <c r="M9" s="6" t="s">
        <v>96</v>
      </c>
      <c r="N9" s="7"/>
      <c r="O9" s="7"/>
      <c r="P9" s="7"/>
      <c r="Q9" s="7"/>
      <c r="R9" s="7"/>
      <c r="S9" s="6" t="s">
        <v>97</v>
      </c>
      <c r="T9" s="6" t="s">
        <v>98</v>
      </c>
      <c r="U9" s="6" t="s">
        <v>99</v>
      </c>
    </row>
    <row r="10" customFormat="false" ht="281.3" hidden="false" customHeight="false" outlineLevel="0" collapsed="false">
      <c r="A10" s="6" t="n">
        <v>9</v>
      </c>
      <c r="B10" s="6" t="s">
        <v>22</v>
      </c>
      <c r="C10" s="6" t="s">
        <v>22</v>
      </c>
      <c r="D10" s="6" t="n">
        <v>100</v>
      </c>
      <c r="E10" s="6" t="n">
        <v>1</v>
      </c>
      <c r="F10" s="6" t="s">
        <v>40</v>
      </c>
      <c r="G10" s="6" t="s">
        <v>100</v>
      </c>
      <c r="H10" s="6" t="s">
        <v>101</v>
      </c>
      <c r="I10" s="6" t="s">
        <v>102</v>
      </c>
      <c r="J10" s="6" t="s">
        <v>103</v>
      </c>
      <c r="K10" s="6"/>
      <c r="L10" s="6"/>
      <c r="M10" s="6" t="s">
        <v>104</v>
      </c>
      <c r="N10" s="7"/>
      <c r="O10" s="7"/>
      <c r="P10" s="7"/>
      <c r="Q10" s="7"/>
      <c r="R10" s="7"/>
      <c r="S10" s="6" t="s">
        <v>105</v>
      </c>
      <c r="T10" s="6" t="s">
        <v>106</v>
      </c>
      <c r="U10" s="6" t="s">
        <v>107</v>
      </c>
    </row>
    <row r="11" customFormat="false" ht="281.3" hidden="false" customHeight="false" outlineLevel="0" collapsed="false">
      <c r="A11" s="6" t="n">
        <v>10</v>
      </c>
      <c r="B11" s="6" t="s">
        <v>22</v>
      </c>
      <c r="C11" s="6" t="s">
        <v>22</v>
      </c>
      <c r="D11" s="6" t="n">
        <v>100</v>
      </c>
      <c r="E11" s="6" t="n">
        <v>1</v>
      </c>
      <c r="F11" s="6" t="s">
        <v>40</v>
      </c>
      <c r="G11" s="6" t="s">
        <v>108</v>
      </c>
      <c r="H11" s="6" t="s">
        <v>109</v>
      </c>
      <c r="I11" s="6" t="s">
        <v>110</v>
      </c>
      <c r="J11" s="6" t="s">
        <v>111</v>
      </c>
      <c r="K11" s="6"/>
      <c r="L11" s="6"/>
      <c r="M11" s="6" t="s">
        <v>112</v>
      </c>
      <c r="N11" s="7"/>
      <c r="O11" s="7"/>
      <c r="P11" s="7"/>
      <c r="Q11" s="7"/>
      <c r="R11" s="7"/>
      <c r="S11" s="6" t="s">
        <v>113</v>
      </c>
      <c r="T11" s="6" t="s">
        <v>114</v>
      </c>
      <c r="U11" s="6" t="s">
        <v>115</v>
      </c>
    </row>
    <row r="12" customFormat="false" ht="270.1" hidden="false" customHeight="false" outlineLevel="0" collapsed="false">
      <c r="A12" s="6" t="n">
        <v>11</v>
      </c>
      <c r="B12" s="6" t="s">
        <v>22</v>
      </c>
      <c r="C12" s="6" t="s">
        <v>22</v>
      </c>
      <c r="D12" s="6" t="n">
        <v>100</v>
      </c>
      <c r="E12" s="6" t="n">
        <v>1</v>
      </c>
      <c r="F12" s="6" t="s">
        <v>40</v>
      </c>
      <c r="G12" s="6" t="s">
        <v>116</v>
      </c>
      <c r="H12" s="6" t="s">
        <v>117</v>
      </c>
      <c r="I12" s="6" t="s">
        <v>116</v>
      </c>
      <c r="J12" s="6" t="s">
        <v>118</v>
      </c>
      <c r="K12" s="6"/>
      <c r="L12" s="6"/>
      <c r="M12" s="6" t="s">
        <v>119</v>
      </c>
      <c r="N12" s="7"/>
      <c r="O12" s="7"/>
      <c r="P12" s="7"/>
      <c r="Q12" s="7"/>
      <c r="R12" s="7"/>
      <c r="S12" s="6" t="s">
        <v>120</v>
      </c>
      <c r="T12" s="6" t="s">
        <v>121</v>
      </c>
      <c r="U12" s="6" t="s">
        <v>122</v>
      </c>
    </row>
    <row r="13" customFormat="false" ht="303.7" hidden="false" customHeight="false" outlineLevel="0" collapsed="false">
      <c r="A13" s="6" t="n">
        <v>12</v>
      </c>
      <c r="B13" s="6" t="s">
        <v>22</v>
      </c>
      <c r="C13" s="6" t="s">
        <v>22</v>
      </c>
      <c r="D13" s="6" t="n">
        <v>100</v>
      </c>
      <c r="E13" s="6" t="n">
        <v>1</v>
      </c>
      <c r="F13" s="6" t="s">
        <v>40</v>
      </c>
      <c r="G13" s="6" t="s">
        <v>123</v>
      </c>
      <c r="H13" s="6" t="s">
        <v>124</v>
      </c>
      <c r="I13" s="6" t="s">
        <v>125</v>
      </c>
      <c r="J13" s="6" t="s">
        <v>126</v>
      </c>
      <c r="K13" s="6"/>
      <c r="L13" s="6"/>
      <c r="M13" s="6" t="s">
        <v>127</v>
      </c>
      <c r="N13" s="7"/>
      <c r="O13" s="7"/>
      <c r="P13" s="7"/>
      <c r="Q13" s="7"/>
      <c r="R13" s="7"/>
      <c r="S13" s="6" t="s">
        <v>128</v>
      </c>
      <c r="T13" s="6" t="s">
        <v>129</v>
      </c>
      <c r="U13" s="6" t="s">
        <v>130</v>
      </c>
    </row>
    <row r="14" customFormat="false" ht="314.9" hidden="false" customHeight="false" outlineLevel="0" collapsed="false">
      <c r="A14" s="6" t="n">
        <v>13</v>
      </c>
      <c r="B14" s="6" t="s">
        <v>22</v>
      </c>
      <c r="C14" s="6" t="s">
        <v>22</v>
      </c>
      <c r="D14" s="6" t="n">
        <v>100</v>
      </c>
      <c r="E14" s="6" t="n">
        <v>1</v>
      </c>
      <c r="F14" s="6" t="s">
        <v>40</v>
      </c>
      <c r="G14" s="6" t="s">
        <v>131</v>
      </c>
      <c r="H14" s="6" t="s">
        <v>132</v>
      </c>
      <c r="I14" s="6" t="s">
        <v>131</v>
      </c>
      <c r="J14" s="6" t="s">
        <v>133</v>
      </c>
      <c r="K14" s="6"/>
      <c r="L14" s="6"/>
      <c r="M14" s="6" t="s">
        <v>134</v>
      </c>
      <c r="N14" s="7"/>
      <c r="O14" s="7"/>
      <c r="P14" s="7"/>
      <c r="Q14" s="7"/>
      <c r="R14" s="7"/>
      <c r="S14" s="6" t="s">
        <v>135</v>
      </c>
      <c r="T14" s="6" t="s">
        <v>136</v>
      </c>
      <c r="U14" s="6" t="s">
        <v>137</v>
      </c>
    </row>
    <row r="15" customFormat="false" ht="225.35" hidden="false" customHeight="false" outlineLevel="0" collapsed="false">
      <c r="A15" s="6" t="n">
        <v>14</v>
      </c>
      <c r="B15" s="6" t="s">
        <v>22</v>
      </c>
      <c r="C15" s="6" t="s">
        <v>22</v>
      </c>
      <c r="D15" s="6" t="n">
        <v>100</v>
      </c>
      <c r="E15" s="6" t="n">
        <v>1</v>
      </c>
      <c r="F15" s="6" t="s">
        <v>40</v>
      </c>
      <c r="G15" s="6" t="s">
        <v>138</v>
      </c>
      <c r="H15" s="6" t="s">
        <v>139</v>
      </c>
      <c r="I15" s="6" t="s">
        <v>140</v>
      </c>
      <c r="J15" s="6" t="s">
        <v>141</v>
      </c>
      <c r="K15" s="6"/>
      <c r="L15" s="6"/>
      <c r="M15" s="6" t="s">
        <v>142</v>
      </c>
      <c r="N15" s="7"/>
      <c r="O15" s="7"/>
      <c r="P15" s="7"/>
      <c r="Q15" s="7"/>
      <c r="R15" s="7"/>
      <c r="S15" s="6" t="s">
        <v>143</v>
      </c>
      <c r="T15" s="6" t="s">
        <v>144</v>
      </c>
      <c r="U15" s="6" t="s">
        <v>145</v>
      </c>
    </row>
    <row r="16" customFormat="false" ht="852.2" hidden="false" customHeight="false" outlineLevel="0" collapsed="false">
      <c r="A16" s="6" t="n">
        <v>15</v>
      </c>
      <c r="B16" s="6" t="s">
        <v>22</v>
      </c>
      <c r="C16" s="6" t="s">
        <v>22</v>
      </c>
      <c r="D16" s="6" t="n">
        <v>100</v>
      </c>
      <c r="E16" s="6" t="n">
        <v>1</v>
      </c>
      <c r="F16" s="6" t="s">
        <v>40</v>
      </c>
      <c r="G16" s="6" t="s">
        <v>146</v>
      </c>
      <c r="H16" s="6"/>
      <c r="I16" s="6" t="s">
        <v>147</v>
      </c>
      <c r="J16" s="6" t="s">
        <v>148</v>
      </c>
      <c r="K16" s="6" t="s">
        <v>50</v>
      </c>
      <c r="L16" s="6"/>
      <c r="M16" s="6" t="s">
        <v>149</v>
      </c>
      <c r="N16" s="7"/>
      <c r="O16" s="7"/>
      <c r="P16" s="7"/>
      <c r="Q16" s="7"/>
      <c r="R16" s="7"/>
      <c r="S16" s="6" t="s">
        <v>150</v>
      </c>
      <c r="T16" s="6" t="s">
        <v>151</v>
      </c>
      <c r="U16" s="6" t="s">
        <v>152</v>
      </c>
    </row>
    <row r="17" customFormat="false" ht="258.95" hidden="false" customHeight="false" outlineLevel="0" collapsed="false">
      <c r="A17" s="6" t="n">
        <v>16</v>
      </c>
      <c r="B17" s="6" t="s">
        <v>22</v>
      </c>
      <c r="C17" s="6" t="s">
        <v>22</v>
      </c>
      <c r="D17" s="6" t="n">
        <v>100</v>
      </c>
      <c r="E17" s="6" t="n">
        <v>1</v>
      </c>
      <c r="F17" s="6" t="s">
        <v>40</v>
      </c>
      <c r="G17" s="6" t="s">
        <v>153</v>
      </c>
      <c r="H17" s="6" t="s">
        <v>154</v>
      </c>
      <c r="I17" s="6" t="s">
        <v>155</v>
      </c>
      <c r="J17" s="6" t="s">
        <v>156</v>
      </c>
      <c r="K17" s="6"/>
      <c r="L17" s="6"/>
      <c r="M17" s="6" t="s">
        <v>157</v>
      </c>
      <c r="N17" s="7"/>
      <c r="O17" s="7"/>
      <c r="P17" s="7"/>
      <c r="Q17" s="7"/>
      <c r="R17" s="7"/>
      <c r="S17" s="6" t="s">
        <v>158</v>
      </c>
      <c r="T17" s="6" t="s">
        <v>159</v>
      </c>
      <c r="U17" s="6" t="s">
        <v>160</v>
      </c>
    </row>
    <row r="18" customFormat="false" ht="292.5" hidden="false" customHeight="false" outlineLevel="0" collapsed="false">
      <c r="A18" s="6" t="n">
        <v>17</v>
      </c>
      <c r="B18" s="6" t="s">
        <v>22</v>
      </c>
      <c r="C18" s="6" t="s">
        <v>22</v>
      </c>
      <c r="D18" s="6" t="n">
        <v>100</v>
      </c>
      <c r="E18" s="6" t="n">
        <v>1</v>
      </c>
      <c r="F18" s="6" t="s">
        <v>40</v>
      </c>
      <c r="G18" s="6" t="s">
        <v>161</v>
      </c>
      <c r="H18" s="6" t="s">
        <v>162</v>
      </c>
      <c r="I18" s="6" t="s">
        <v>163</v>
      </c>
      <c r="J18" s="6" t="s">
        <v>164</v>
      </c>
      <c r="K18" s="6"/>
      <c r="L18" s="6"/>
      <c r="M18" s="6" t="s">
        <v>165</v>
      </c>
      <c r="N18" s="7"/>
      <c r="O18" s="7"/>
      <c r="P18" s="7"/>
      <c r="Q18" s="7"/>
      <c r="R18" s="7"/>
      <c r="S18" s="6" t="s">
        <v>166</v>
      </c>
      <c r="T18" s="6" t="s">
        <v>167</v>
      </c>
      <c r="U18" s="6" t="s">
        <v>168</v>
      </c>
    </row>
    <row r="19" customFormat="false" ht="247.75" hidden="false" customHeight="false" outlineLevel="0" collapsed="false">
      <c r="A19" s="6" t="n">
        <v>18</v>
      </c>
      <c r="B19" s="6" t="s">
        <v>22</v>
      </c>
      <c r="C19" s="6" t="s">
        <v>22</v>
      </c>
      <c r="D19" s="6" t="n">
        <v>100</v>
      </c>
      <c r="E19" s="6" t="n">
        <v>1</v>
      </c>
      <c r="F19" s="6" t="s">
        <v>40</v>
      </c>
      <c r="G19" s="6" t="s">
        <v>169</v>
      </c>
      <c r="H19" s="6"/>
      <c r="I19" s="6" t="s">
        <v>170</v>
      </c>
      <c r="J19" s="6" t="s">
        <v>171</v>
      </c>
      <c r="K19" s="6" t="s">
        <v>50</v>
      </c>
      <c r="L19" s="6"/>
      <c r="M19" s="6" t="s">
        <v>172</v>
      </c>
      <c r="N19" s="7"/>
      <c r="O19" s="7"/>
      <c r="P19" s="7"/>
      <c r="Q19" s="7"/>
      <c r="R19" s="7"/>
      <c r="S19" s="6" t="s">
        <v>173</v>
      </c>
      <c r="T19" s="6" t="s">
        <v>174</v>
      </c>
      <c r="U19" s="6" t="s">
        <v>175</v>
      </c>
    </row>
    <row r="20" customFormat="false" ht="292.5" hidden="false" customHeight="false" outlineLevel="0" collapsed="false">
      <c r="A20" s="6" t="n">
        <v>19</v>
      </c>
      <c r="B20" s="6" t="s">
        <v>22</v>
      </c>
      <c r="C20" s="6" t="s">
        <v>22</v>
      </c>
      <c r="D20" s="6" t="n">
        <v>100</v>
      </c>
      <c r="E20" s="6" t="n">
        <v>1</v>
      </c>
      <c r="F20" s="6" t="s">
        <v>40</v>
      </c>
      <c r="G20" s="6" t="s">
        <v>176</v>
      </c>
      <c r="H20" s="6" t="s">
        <v>177</v>
      </c>
      <c r="I20" s="6" t="s">
        <v>178</v>
      </c>
      <c r="J20" s="6" t="s">
        <v>179</v>
      </c>
      <c r="K20" s="6"/>
      <c r="L20" s="6"/>
      <c r="M20" s="6" t="s">
        <v>180</v>
      </c>
      <c r="N20" s="7"/>
      <c r="O20" s="7"/>
      <c r="P20" s="7"/>
      <c r="Q20" s="7"/>
      <c r="R20" s="7"/>
      <c r="S20" s="6" t="s">
        <v>181</v>
      </c>
      <c r="T20" s="6" t="s">
        <v>182</v>
      </c>
      <c r="U20" s="6" t="s">
        <v>183</v>
      </c>
    </row>
    <row r="21" customFormat="false" ht="202.95" hidden="false" customHeight="false" outlineLevel="0" collapsed="false">
      <c r="A21" s="6" t="n">
        <v>20</v>
      </c>
      <c r="B21" s="6" t="s">
        <v>22</v>
      </c>
      <c r="C21" s="6" t="s">
        <v>22</v>
      </c>
      <c r="D21" s="6" t="n">
        <v>100</v>
      </c>
      <c r="E21" s="6" t="n">
        <v>1</v>
      </c>
      <c r="F21" s="6" t="s">
        <v>40</v>
      </c>
      <c r="G21" s="6" t="s">
        <v>184</v>
      </c>
      <c r="H21" s="6" t="s">
        <v>185</v>
      </c>
      <c r="I21" s="6" t="s">
        <v>186</v>
      </c>
      <c r="J21" s="6" t="s">
        <v>187</v>
      </c>
      <c r="K21" s="6"/>
      <c r="L21" s="6"/>
      <c r="M21" s="6" t="s">
        <v>188</v>
      </c>
      <c r="N21" s="7"/>
      <c r="O21" s="7"/>
      <c r="P21" s="7"/>
      <c r="Q21" s="7"/>
      <c r="R21" s="7"/>
      <c r="S21" s="6" t="s">
        <v>189</v>
      </c>
      <c r="T21" s="6" t="s">
        <v>190</v>
      </c>
      <c r="U21" s="6" t="s">
        <v>191</v>
      </c>
    </row>
    <row r="22" customFormat="false" ht="270.1" hidden="false" customHeight="false" outlineLevel="0" collapsed="false">
      <c r="A22" s="6" t="n">
        <v>21</v>
      </c>
      <c r="B22" s="6" t="s">
        <v>22</v>
      </c>
      <c r="C22" s="6" t="s">
        <v>22</v>
      </c>
      <c r="D22" s="6" t="n">
        <v>100</v>
      </c>
      <c r="E22" s="6" t="n">
        <v>1</v>
      </c>
      <c r="F22" s="6" t="s">
        <v>40</v>
      </c>
      <c r="G22" s="6" t="s">
        <v>192</v>
      </c>
      <c r="H22" s="6" t="s">
        <v>193</v>
      </c>
      <c r="I22" s="6" t="s">
        <v>192</v>
      </c>
      <c r="J22" s="6" t="s">
        <v>194</v>
      </c>
      <c r="K22" s="6"/>
      <c r="L22" s="6"/>
      <c r="M22" s="6" t="s">
        <v>195</v>
      </c>
      <c r="N22" s="7"/>
      <c r="O22" s="7"/>
      <c r="P22" s="7"/>
      <c r="Q22" s="7"/>
      <c r="R22" s="7"/>
      <c r="S22" s="6" t="s">
        <v>196</v>
      </c>
      <c r="T22" s="6" t="s">
        <v>197</v>
      </c>
      <c r="U22" s="6" t="s">
        <v>198</v>
      </c>
    </row>
    <row r="23" customFormat="false" ht="258.95" hidden="false" customHeight="false" outlineLevel="0" collapsed="false">
      <c r="A23" s="6" t="n">
        <v>22</v>
      </c>
      <c r="B23" s="6" t="s">
        <v>22</v>
      </c>
      <c r="C23" s="6" t="s">
        <v>22</v>
      </c>
      <c r="D23" s="6" t="n">
        <v>100</v>
      </c>
      <c r="E23" s="6" t="n">
        <v>1</v>
      </c>
      <c r="F23" s="6" t="s">
        <v>40</v>
      </c>
      <c r="G23" s="6" t="s">
        <v>199</v>
      </c>
      <c r="H23" s="6" t="s">
        <v>200</v>
      </c>
      <c r="I23" s="6" t="s">
        <v>201</v>
      </c>
      <c r="J23" s="6" t="s">
        <v>202</v>
      </c>
      <c r="K23" s="6"/>
      <c r="L23" s="6"/>
      <c r="M23" s="6" t="s">
        <v>203</v>
      </c>
      <c r="N23" s="7"/>
      <c r="O23" s="7"/>
      <c r="P23" s="7"/>
      <c r="Q23" s="7"/>
      <c r="R23" s="7"/>
      <c r="S23" s="6" t="s">
        <v>204</v>
      </c>
      <c r="T23" s="6" t="s">
        <v>205</v>
      </c>
      <c r="U23" s="6" t="s">
        <v>206</v>
      </c>
    </row>
    <row r="24" customFormat="false" ht="247.75" hidden="false" customHeight="false" outlineLevel="0" collapsed="false">
      <c r="A24" s="6" t="n">
        <v>23</v>
      </c>
      <c r="B24" s="6" t="s">
        <v>22</v>
      </c>
      <c r="C24" s="6" t="s">
        <v>22</v>
      </c>
      <c r="D24" s="6" t="n">
        <v>100</v>
      </c>
      <c r="E24" s="6" t="n">
        <v>1</v>
      </c>
      <c r="F24" s="6" t="s">
        <v>40</v>
      </c>
      <c r="G24" s="6" t="s">
        <v>207</v>
      </c>
      <c r="H24" s="6" t="s">
        <v>208</v>
      </c>
      <c r="I24" s="6" t="s">
        <v>207</v>
      </c>
      <c r="J24" s="6" t="s">
        <v>209</v>
      </c>
      <c r="K24" s="6"/>
      <c r="L24" s="6"/>
      <c r="M24" s="6" t="s">
        <v>210</v>
      </c>
      <c r="N24" s="7"/>
      <c r="O24" s="7"/>
      <c r="P24" s="7"/>
      <c r="Q24" s="7"/>
      <c r="R24" s="7"/>
      <c r="S24" s="6" t="s">
        <v>211</v>
      </c>
      <c r="T24" s="6" t="s">
        <v>46</v>
      </c>
      <c r="U24" s="6" t="s">
        <v>47</v>
      </c>
    </row>
    <row r="25" customFormat="false" ht="225.35" hidden="false" customHeight="false" outlineLevel="0" collapsed="false">
      <c r="A25" s="6" t="n">
        <v>24</v>
      </c>
      <c r="B25" s="6" t="s">
        <v>22</v>
      </c>
      <c r="C25" s="6" t="s">
        <v>22</v>
      </c>
      <c r="D25" s="6" t="n">
        <v>100</v>
      </c>
      <c r="E25" s="6" t="n">
        <v>1</v>
      </c>
      <c r="F25" s="6" t="s">
        <v>40</v>
      </c>
      <c r="G25" s="6" t="s">
        <v>212</v>
      </c>
      <c r="H25" s="6" t="s">
        <v>213</v>
      </c>
      <c r="I25" s="6" t="s">
        <v>214</v>
      </c>
      <c r="J25" s="6" t="s">
        <v>215</v>
      </c>
      <c r="K25" s="6"/>
      <c r="L25" s="6"/>
      <c r="M25" s="6" t="s">
        <v>216</v>
      </c>
      <c r="N25" s="7"/>
      <c r="O25" s="7"/>
      <c r="P25" s="7"/>
      <c r="Q25" s="7"/>
      <c r="R25" s="7"/>
      <c r="S25" s="6" t="s">
        <v>217</v>
      </c>
      <c r="T25" s="6" t="s">
        <v>218</v>
      </c>
      <c r="U25" s="6" t="s">
        <v>219</v>
      </c>
    </row>
    <row r="26" customFormat="false" ht="281.3" hidden="false" customHeight="false" outlineLevel="0" collapsed="false">
      <c r="A26" s="6" t="n">
        <v>25</v>
      </c>
      <c r="B26" s="6" t="s">
        <v>22</v>
      </c>
      <c r="C26" s="6" t="s">
        <v>22</v>
      </c>
      <c r="D26" s="6" t="n">
        <v>100</v>
      </c>
      <c r="E26" s="6" t="n">
        <v>1</v>
      </c>
      <c r="F26" s="6" t="s">
        <v>40</v>
      </c>
      <c r="G26" s="6" t="s">
        <v>220</v>
      </c>
      <c r="H26" s="6" t="s">
        <v>221</v>
      </c>
      <c r="I26" s="6" t="s">
        <v>222</v>
      </c>
      <c r="J26" s="6" t="s">
        <v>223</v>
      </c>
      <c r="K26" s="6"/>
      <c r="L26" s="6"/>
      <c r="M26" s="6" t="s">
        <v>224</v>
      </c>
      <c r="N26" s="7"/>
      <c r="O26" s="7"/>
      <c r="P26" s="7"/>
      <c r="Q26" s="7"/>
      <c r="R26" s="7"/>
      <c r="S26" s="6" t="s">
        <v>225</v>
      </c>
      <c r="T26" s="6" t="s">
        <v>226</v>
      </c>
      <c r="U26" s="6" t="s">
        <v>227</v>
      </c>
    </row>
    <row r="27" customFormat="false" ht="202.95" hidden="false" customHeight="false" outlineLevel="0" collapsed="false">
      <c r="A27" s="6" t="n">
        <v>26</v>
      </c>
      <c r="B27" s="6" t="s">
        <v>22</v>
      </c>
      <c r="C27" s="6" t="s">
        <v>22</v>
      </c>
      <c r="D27" s="6" t="n">
        <v>100</v>
      </c>
      <c r="E27" s="6" t="n">
        <v>1</v>
      </c>
      <c r="F27" s="6" t="s">
        <v>40</v>
      </c>
      <c r="G27" s="6" t="s">
        <v>228</v>
      </c>
      <c r="H27" s="6" t="s">
        <v>229</v>
      </c>
      <c r="I27" s="6" t="s">
        <v>228</v>
      </c>
      <c r="J27" s="6" t="s">
        <v>230</v>
      </c>
      <c r="K27" s="6"/>
      <c r="L27" s="6"/>
      <c r="M27" s="6" t="s">
        <v>231</v>
      </c>
      <c r="N27" s="7"/>
      <c r="O27" s="7"/>
      <c r="P27" s="7"/>
      <c r="Q27" s="7"/>
      <c r="R27" s="7"/>
      <c r="S27" s="6" t="s">
        <v>232</v>
      </c>
      <c r="T27" s="6" t="s">
        <v>233</v>
      </c>
      <c r="U27" s="6" t="s">
        <v>234</v>
      </c>
    </row>
    <row r="28" customFormat="false" ht="214.15" hidden="false" customHeight="false" outlineLevel="0" collapsed="false">
      <c r="A28" s="6" t="n">
        <v>27</v>
      </c>
      <c r="B28" s="6" t="s">
        <v>22</v>
      </c>
      <c r="C28" s="6" t="s">
        <v>22</v>
      </c>
      <c r="D28" s="6" t="n">
        <v>100</v>
      </c>
      <c r="E28" s="6" t="n">
        <v>1</v>
      </c>
      <c r="F28" s="6" t="s">
        <v>40</v>
      </c>
      <c r="G28" s="6" t="s">
        <v>235</v>
      </c>
      <c r="H28" s="6" t="s">
        <v>236</v>
      </c>
      <c r="I28" s="6" t="s">
        <v>237</v>
      </c>
      <c r="J28" s="6" t="s">
        <v>238</v>
      </c>
      <c r="K28" s="6"/>
      <c r="L28" s="6"/>
      <c r="M28" s="6" t="s">
        <v>239</v>
      </c>
      <c r="N28" s="7"/>
      <c r="O28" s="7"/>
      <c r="P28" s="7"/>
      <c r="Q28" s="7"/>
      <c r="R28" s="7"/>
      <c r="S28" s="6" t="s">
        <v>240</v>
      </c>
      <c r="T28" s="6" t="s">
        <v>241</v>
      </c>
      <c r="U28" s="6" t="s">
        <v>242</v>
      </c>
    </row>
    <row r="29" customFormat="false" ht="247.75" hidden="false" customHeight="false" outlineLevel="0" collapsed="false">
      <c r="A29" s="6" t="n">
        <v>28</v>
      </c>
      <c r="B29" s="6" t="s">
        <v>22</v>
      </c>
      <c r="C29" s="6" t="s">
        <v>22</v>
      </c>
      <c r="D29" s="6" t="n">
        <v>100</v>
      </c>
      <c r="E29" s="6" t="n">
        <v>1</v>
      </c>
      <c r="F29" s="6" t="s">
        <v>40</v>
      </c>
      <c r="G29" s="6" t="s">
        <v>243</v>
      </c>
      <c r="H29" s="6" t="s">
        <v>244</v>
      </c>
      <c r="I29" s="6" t="s">
        <v>245</v>
      </c>
      <c r="J29" s="6" t="s">
        <v>246</v>
      </c>
      <c r="K29" s="6"/>
      <c r="L29" s="6"/>
      <c r="M29" s="6" t="s">
        <v>247</v>
      </c>
      <c r="N29" s="7"/>
      <c r="O29" s="7"/>
      <c r="P29" s="7"/>
      <c r="Q29" s="7"/>
      <c r="R29" s="7"/>
      <c r="S29" s="6" t="s">
        <v>248</v>
      </c>
      <c r="T29" s="6" t="s">
        <v>249</v>
      </c>
      <c r="U29" s="6" t="s">
        <v>250</v>
      </c>
    </row>
    <row r="30" customFormat="false" ht="314.9" hidden="false" customHeight="false" outlineLevel="0" collapsed="false">
      <c r="A30" s="6" t="n">
        <v>29</v>
      </c>
      <c r="B30" s="6" t="s">
        <v>22</v>
      </c>
      <c r="C30" s="6" t="s">
        <v>22</v>
      </c>
      <c r="D30" s="6" t="n">
        <v>100</v>
      </c>
      <c r="E30" s="6" t="n">
        <v>1</v>
      </c>
      <c r="F30" s="6" t="s">
        <v>40</v>
      </c>
      <c r="G30" s="6" t="s">
        <v>251</v>
      </c>
      <c r="H30" s="6"/>
      <c r="I30" s="6" t="s">
        <v>251</v>
      </c>
      <c r="J30" s="6" t="s">
        <v>252</v>
      </c>
      <c r="K30" s="6" t="s">
        <v>50</v>
      </c>
      <c r="L30" s="6"/>
      <c r="M30" s="6" t="s">
        <v>253</v>
      </c>
      <c r="N30" s="7"/>
      <c r="O30" s="7"/>
      <c r="P30" s="7"/>
      <c r="Q30" s="7"/>
      <c r="R30" s="7"/>
      <c r="S30" s="6" t="s">
        <v>254</v>
      </c>
      <c r="T30" s="6" t="s">
        <v>255</v>
      </c>
      <c r="U30" s="6" t="s">
        <v>256</v>
      </c>
    </row>
    <row r="31" customFormat="false" ht="292.5" hidden="false" customHeight="false" outlineLevel="0" collapsed="false">
      <c r="A31" s="6" t="n">
        <v>30</v>
      </c>
      <c r="B31" s="6" t="s">
        <v>22</v>
      </c>
      <c r="C31" s="6" t="s">
        <v>22</v>
      </c>
      <c r="D31" s="6" t="n">
        <v>100</v>
      </c>
      <c r="E31" s="6" t="n">
        <v>1</v>
      </c>
      <c r="F31" s="6" t="s">
        <v>40</v>
      </c>
      <c r="G31" s="6" t="s">
        <v>257</v>
      </c>
      <c r="H31" s="6" t="s">
        <v>258</v>
      </c>
      <c r="I31" s="6" t="s">
        <v>259</v>
      </c>
      <c r="J31" s="6" t="s">
        <v>260</v>
      </c>
      <c r="K31" s="6"/>
      <c r="L31" s="6"/>
      <c r="M31" s="6" t="s">
        <v>261</v>
      </c>
      <c r="N31" s="7"/>
      <c r="O31" s="7"/>
      <c r="P31" s="7"/>
      <c r="Q31" s="7"/>
      <c r="R31" s="7"/>
      <c r="S31" s="6" t="s">
        <v>262</v>
      </c>
      <c r="T31" s="6" t="s">
        <v>263</v>
      </c>
      <c r="U31" s="6" t="s">
        <v>264</v>
      </c>
    </row>
    <row r="32" customFormat="false" ht="650.7" hidden="false" customHeight="false" outlineLevel="0" collapsed="false">
      <c r="A32" s="6" t="n">
        <v>31</v>
      </c>
      <c r="B32" s="6" t="s">
        <v>265</v>
      </c>
      <c r="C32" s="6" t="s">
        <v>265</v>
      </c>
      <c r="D32" s="6" t="n">
        <v>100</v>
      </c>
      <c r="E32" s="6" t="n">
        <v>1</v>
      </c>
      <c r="F32" s="6" t="s">
        <v>40</v>
      </c>
      <c r="G32" s="6" t="s">
        <v>266</v>
      </c>
      <c r="H32" s="6" t="s">
        <v>267</v>
      </c>
      <c r="I32" s="6" t="s">
        <v>268</v>
      </c>
      <c r="J32" s="6" t="s">
        <v>269</v>
      </c>
      <c r="K32" s="6"/>
      <c r="L32" s="6"/>
      <c r="M32" s="6" t="s">
        <v>270</v>
      </c>
      <c r="N32" s="7"/>
      <c r="O32" s="7"/>
      <c r="P32" s="7"/>
      <c r="Q32" s="7"/>
      <c r="R32" s="7"/>
      <c r="S32" s="6" t="s">
        <v>271</v>
      </c>
      <c r="T32" s="6" t="s">
        <v>272</v>
      </c>
      <c r="U32" s="6" t="s">
        <v>273</v>
      </c>
    </row>
    <row r="33" customFormat="false" ht="393.25" hidden="false" customHeight="false" outlineLevel="0" collapsed="false">
      <c r="A33" s="6" t="n">
        <v>32</v>
      </c>
      <c r="B33" s="6" t="s">
        <v>265</v>
      </c>
      <c r="C33" s="6" t="s">
        <v>265</v>
      </c>
      <c r="D33" s="6" t="n">
        <v>100</v>
      </c>
      <c r="E33" s="6" t="n">
        <v>1</v>
      </c>
      <c r="F33" s="6" t="s">
        <v>40</v>
      </c>
      <c r="G33" s="6" t="s">
        <v>274</v>
      </c>
      <c r="H33" s="6" t="s">
        <v>275</v>
      </c>
      <c r="I33" s="6" t="s">
        <v>276</v>
      </c>
      <c r="J33" s="6" t="s">
        <v>277</v>
      </c>
      <c r="K33" s="6"/>
      <c r="L33" s="6"/>
      <c r="M33" s="6" t="s">
        <v>278</v>
      </c>
      <c r="N33" s="7"/>
      <c r="O33" s="7"/>
      <c r="P33" s="7"/>
      <c r="Q33" s="7"/>
      <c r="R33" s="7"/>
      <c r="S33" s="6" t="s">
        <v>279</v>
      </c>
      <c r="T33" s="6" t="s">
        <v>280</v>
      </c>
      <c r="U33" s="6" t="s">
        <v>281</v>
      </c>
    </row>
    <row r="34" customFormat="false" ht="527.6" hidden="false" customHeight="false" outlineLevel="0" collapsed="false">
      <c r="A34" s="6" t="n">
        <v>33</v>
      </c>
      <c r="B34" s="6" t="s">
        <v>265</v>
      </c>
      <c r="C34" s="6" t="s">
        <v>265</v>
      </c>
      <c r="D34" s="6" t="n">
        <v>100</v>
      </c>
      <c r="E34" s="6" t="n">
        <v>1</v>
      </c>
      <c r="F34" s="6" t="s">
        <v>40</v>
      </c>
      <c r="G34" s="6" t="s">
        <v>282</v>
      </c>
      <c r="H34" s="6" t="s">
        <v>283</v>
      </c>
      <c r="I34" s="6" t="s">
        <v>284</v>
      </c>
      <c r="J34" s="6" t="s">
        <v>285</v>
      </c>
      <c r="K34" s="6"/>
      <c r="L34" s="6"/>
      <c r="M34" s="6" t="s">
        <v>286</v>
      </c>
      <c r="N34" s="7"/>
      <c r="O34" s="7"/>
      <c r="P34" s="7"/>
      <c r="Q34" s="7"/>
      <c r="R34" s="7"/>
      <c r="S34" s="6" t="s">
        <v>287</v>
      </c>
      <c r="T34" s="6" t="s">
        <v>288</v>
      </c>
      <c r="U34" s="6" t="s">
        <v>289</v>
      </c>
    </row>
    <row r="35" customFormat="false" ht="605.95" hidden="false" customHeight="false" outlineLevel="0" collapsed="false">
      <c r="A35" s="6" t="n">
        <v>34</v>
      </c>
      <c r="B35" s="6" t="s">
        <v>265</v>
      </c>
      <c r="C35" s="6" t="s">
        <v>265</v>
      </c>
      <c r="D35" s="6" t="n">
        <v>100</v>
      </c>
      <c r="E35" s="6" t="n">
        <v>1</v>
      </c>
      <c r="F35" s="6" t="s">
        <v>40</v>
      </c>
      <c r="G35" s="6" t="s">
        <v>290</v>
      </c>
      <c r="H35" s="6" t="s">
        <v>291</v>
      </c>
      <c r="I35" s="6" t="s">
        <v>292</v>
      </c>
      <c r="J35" s="6" t="s">
        <v>293</v>
      </c>
      <c r="K35" s="6"/>
      <c r="L35" s="6"/>
      <c r="M35" s="6" t="s">
        <v>294</v>
      </c>
      <c r="N35" s="7"/>
      <c r="O35" s="7"/>
      <c r="P35" s="7"/>
      <c r="Q35" s="7"/>
      <c r="R35" s="7"/>
      <c r="S35" s="6" t="s">
        <v>295</v>
      </c>
      <c r="T35" s="6" t="s">
        <v>296</v>
      </c>
      <c r="U35" s="6" t="s">
        <v>297</v>
      </c>
    </row>
    <row r="36" customFormat="false" ht="505.2" hidden="false" customHeight="false" outlineLevel="0" collapsed="false">
      <c r="A36" s="6" t="n">
        <v>35</v>
      </c>
      <c r="B36" s="6" t="s">
        <v>265</v>
      </c>
      <c r="C36" s="6" t="s">
        <v>265</v>
      </c>
      <c r="D36" s="6" t="n">
        <v>100</v>
      </c>
      <c r="E36" s="6" t="n">
        <v>1</v>
      </c>
      <c r="F36" s="6" t="s">
        <v>40</v>
      </c>
      <c r="G36" s="6" t="s">
        <v>298</v>
      </c>
      <c r="H36" s="6" t="s">
        <v>299</v>
      </c>
      <c r="I36" s="6" t="s">
        <v>300</v>
      </c>
      <c r="J36" s="6"/>
      <c r="K36" s="6"/>
      <c r="L36" s="6" t="s">
        <v>50</v>
      </c>
      <c r="M36" s="6" t="s">
        <v>301</v>
      </c>
      <c r="N36" s="7"/>
      <c r="O36" s="7"/>
      <c r="P36" s="7"/>
      <c r="Q36" s="7"/>
      <c r="R36" s="7"/>
      <c r="S36" s="6" t="s">
        <v>302</v>
      </c>
      <c r="T36" s="6" t="s">
        <v>303</v>
      </c>
      <c r="U36" s="6" t="s">
        <v>304</v>
      </c>
    </row>
    <row r="37" customFormat="false" ht="460.4" hidden="false" customHeight="false" outlineLevel="0" collapsed="false">
      <c r="A37" s="6" t="n">
        <v>36</v>
      </c>
      <c r="B37" s="6" t="s">
        <v>265</v>
      </c>
      <c r="C37" s="6" t="s">
        <v>265</v>
      </c>
      <c r="D37" s="6" t="n">
        <v>100</v>
      </c>
      <c r="E37" s="6" t="n">
        <v>1</v>
      </c>
      <c r="F37" s="6" t="s">
        <v>40</v>
      </c>
      <c r="G37" s="6" t="s">
        <v>305</v>
      </c>
      <c r="H37" s="6" t="s">
        <v>306</v>
      </c>
      <c r="I37" s="6" t="s">
        <v>307</v>
      </c>
      <c r="J37" s="6" t="s">
        <v>308</v>
      </c>
      <c r="K37" s="6"/>
      <c r="L37" s="6"/>
      <c r="M37" s="6" t="s">
        <v>309</v>
      </c>
      <c r="N37" s="7"/>
      <c r="O37" s="7"/>
      <c r="P37" s="7"/>
      <c r="Q37" s="7"/>
      <c r="R37" s="7"/>
      <c r="S37" s="6" t="s">
        <v>310</v>
      </c>
      <c r="T37" s="6" t="s">
        <v>311</v>
      </c>
      <c r="U37" s="6" t="s">
        <v>312</v>
      </c>
    </row>
    <row r="38" customFormat="false" ht="382.05" hidden="false" customHeight="false" outlineLevel="0" collapsed="false">
      <c r="A38" s="6" t="n">
        <v>37</v>
      </c>
      <c r="B38" s="6" t="s">
        <v>265</v>
      </c>
      <c r="C38" s="6" t="s">
        <v>265</v>
      </c>
      <c r="D38" s="6" t="n">
        <v>100</v>
      </c>
      <c r="E38" s="6" t="n">
        <v>1</v>
      </c>
      <c r="F38" s="6" t="s">
        <v>40</v>
      </c>
      <c r="G38" s="6" t="s">
        <v>313</v>
      </c>
      <c r="H38" s="6" t="s">
        <v>314</v>
      </c>
      <c r="I38" s="6" t="s">
        <v>315</v>
      </c>
      <c r="J38" s="6" t="s">
        <v>316</v>
      </c>
      <c r="K38" s="6"/>
      <c r="L38" s="6"/>
      <c r="M38" s="6" t="s">
        <v>317</v>
      </c>
      <c r="N38" s="7"/>
      <c r="O38" s="7"/>
      <c r="P38" s="7"/>
      <c r="Q38" s="7"/>
      <c r="R38" s="7"/>
      <c r="S38" s="6" t="s">
        <v>318</v>
      </c>
      <c r="T38" s="6" t="s">
        <v>319</v>
      </c>
      <c r="U38" s="6" t="s">
        <v>320</v>
      </c>
    </row>
    <row r="39" customFormat="false" ht="684.3" hidden="false" customHeight="false" outlineLevel="0" collapsed="false">
      <c r="A39" s="6" t="n">
        <v>38</v>
      </c>
      <c r="B39" s="6" t="s">
        <v>265</v>
      </c>
      <c r="C39" s="6" t="s">
        <v>265</v>
      </c>
      <c r="D39" s="6" t="n">
        <v>100</v>
      </c>
      <c r="E39" s="6" t="n">
        <v>1</v>
      </c>
      <c r="F39" s="6" t="s">
        <v>40</v>
      </c>
      <c r="G39" s="6" t="s">
        <v>321</v>
      </c>
      <c r="H39" s="6" t="s">
        <v>322</v>
      </c>
      <c r="I39" s="6" t="s">
        <v>321</v>
      </c>
      <c r="J39" s="6"/>
      <c r="K39" s="6"/>
      <c r="L39" s="6" t="s">
        <v>50</v>
      </c>
      <c r="M39" s="6" t="s">
        <v>323</v>
      </c>
      <c r="N39" s="7"/>
      <c r="O39" s="7"/>
      <c r="P39" s="7"/>
      <c r="Q39" s="7"/>
      <c r="R39" s="7"/>
      <c r="S39" s="6" t="s">
        <v>324</v>
      </c>
      <c r="T39" s="6" t="s">
        <v>325</v>
      </c>
      <c r="U39" s="6" t="s">
        <v>326</v>
      </c>
    </row>
    <row r="40" customFormat="false" ht="550" hidden="false" customHeight="false" outlineLevel="0" collapsed="false">
      <c r="A40" s="6" t="n">
        <v>39</v>
      </c>
      <c r="B40" s="6" t="s">
        <v>265</v>
      </c>
      <c r="C40" s="6" t="s">
        <v>265</v>
      </c>
      <c r="D40" s="6" t="n">
        <v>100</v>
      </c>
      <c r="E40" s="6" t="n">
        <v>1</v>
      </c>
      <c r="F40" s="6" t="s">
        <v>40</v>
      </c>
      <c r="G40" s="6" t="s">
        <v>327</v>
      </c>
      <c r="H40" s="6" t="s">
        <v>328</v>
      </c>
      <c r="I40" s="6" t="s">
        <v>329</v>
      </c>
      <c r="J40" s="6" t="s">
        <v>330</v>
      </c>
      <c r="K40" s="6"/>
      <c r="L40" s="6"/>
      <c r="M40" s="6" t="s">
        <v>331</v>
      </c>
      <c r="N40" s="7"/>
      <c r="O40" s="7"/>
      <c r="P40" s="7"/>
      <c r="Q40" s="7"/>
      <c r="R40" s="7"/>
      <c r="S40" s="6" t="s">
        <v>332</v>
      </c>
      <c r="T40" s="6" t="s">
        <v>333</v>
      </c>
      <c r="U40" s="6" t="s">
        <v>334</v>
      </c>
    </row>
    <row r="41" customFormat="false" ht="326.1" hidden="false" customHeight="false" outlineLevel="0" collapsed="false">
      <c r="A41" s="6" t="n">
        <v>40</v>
      </c>
      <c r="B41" s="6" t="s">
        <v>265</v>
      </c>
      <c r="C41" s="6" t="s">
        <v>265</v>
      </c>
      <c r="D41" s="6" t="n">
        <v>100</v>
      </c>
      <c r="E41" s="6" t="n">
        <v>1</v>
      </c>
      <c r="F41" s="6" t="s">
        <v>40</v>
      </c>
      <c r="G41" s="6" t="s">
        <v>335</v>
      </c>
      <c r="H41" s="6" t="s">
        <v>336</v>
      </c>
      <c r="I41" s="6" t="s">
        <v>335</v>
      </c>
      <c r="J41" s="6" t="s">
        <v>337</v>
      </c>
      <c r="K41" s="6"/>
      <c r="L41" s="6"/>
      <c r="M41" s="6" t="s">
        <v>338</v>
      </c>
      <c r="N41" s="7"/>
      <c r="O41" s="7"/>
      <c r="P41" s="7"/>
      <c r="Q41" s="7"/>
      <c r="R41" s="7"/>
      <c r="S41" s="6" t="s">
        <v>339</v>
      </c>
      <c r="T41" s="6" t="s">
        <v>340</v>
      </c>
      <c r="U41" s="6" t="s">
        <v>341</v>
      </c>
    </row>
    <row r="42" customFormat="false" ht="505.2" hidden="false" customHeight="false" outlineLevel="0" collapsed="false">
      <c r="A42" s="6" t="n">
        <v>41</v>
      </c>
      <c r="B42" s="6" t="s">
        <v>265</v>
      </c>
      <c r="C42" s="6" t="s">
        <v>265</v>
      </c>
      <c r="D42" s="6" t="n">
        <v>100</v>
      </c>
      <c r="E42" s="6" t="n">
        <v>1</v>
      </c>
      <c r="F42" s="6" t="s">
        <v>40</v>
      </c>
      <c r="G42" s="6" t="s">
        <v>342</v>
      </c>
      <c r="H42" s="6" t="s">
        <v>343</v>
      </c>
      <c r="I42" s="6" t="s">
        <v>344</v>
      </c>
      <c r="J42" s="6" t="s">
        <v>345</v>
      </c>
      <c r="K42" s="6"/>
      <c r="L42" s="6"/>
      <c r="M42" s="6" t="s">
        <v>346</v>
      </c>
      <c r="N42" s="7"/>
      <c r="O42" s="7"/>
      <c r="P42" s="7"/>
      <c r="Q42" s="7"/>
      <c r="R42" s="7"/>
      <c r="S42" s="6" t="s">
        <v>347</v>
      </c>
      <c r="T42" s="6" t="s">
        <v>348</v>
      </c>
      <c r="U42" s="6" t="s">
        <v>349</v>
      </c>
    </row>
    <row r="43" customFormat="false" ht="438.05" hidden="false" customHeight="false" outlineLevel="0" collapsed="false">
      <c r="A43" s="6" t="n">
        <v>42</v>
      </c>
      <c r="B43" s="6" t="s">
        <v>265</v>
      </c>
      <c r="C43" s="6" t="s">
        <v>265</v>
      </c>
      <c r="D43" s="6" t="n">
        <v>100</v>
      </c>
      <c r="E43" s="6" t="n">
        <v>1</v>
      </c>
      <c r="F43" s="6" t="s">
        <v>40</v>
      </c>
      <c r="G43" s="6" t="s">
        <v>350</v>
      </c>
      <c r="H43" s="6" t="s">
        <v>351</v>
      </c>
      <c r="I43" s="6" t="s">
        <v>352</v>
      </c>
      <c r="J43" s="6" t="s">
        <v>353</v>
      </c>
      <c r="K43" s="6"/>
      <c r="L43" s="6"/>
      <c r="M43" s="6" t="s">
        <v>354</v>
      </c>
      <c r="N43" s="7"/>
      <c r="O43" s="7"/>
      <c r="P43" s="7"/>
      <c r="Q43" s="7"/>
      <c r="R43" s="7"/>
      <c r="S43" s="6" t="s">
        <v>355</v>
      </c>
      <c r="T43" s="6" t="s">
        <v>356</v>
      </c>
      <c r="U43" s="6" t="s">
        <v>357</v>
      </c>
    </row>
    <row r="44" customFormat="false" ht="370.85" hidden="false" customHeight="false" outlineLevel="0" collapsed="false">
      <c r="A44" s="6" t="n">
        <v>43</v>
      </c>
      <c r="B44" s="6" t="s">
        <v>265</v>
      </c>
      <c r="C44" s="6" t="s">
        <v>265</v>
      </c>
      <c r="D44" s="6" t="n">
        <v>100</v>
      </c>
      <c r="E44" s="6" t="n">
        <v>1</v>
      </c>
      <c r="F44" s="6" t="s">
        <v>40</v>
      </c>
      <c r="G44" s="6" t="s">
        <v>358</v>
      </c>
      <c r="H44" s="6" t="s">
        <v>359</v>
      </c>
      <c r="I44" s="6" t="s">
        <v>360</v>
      </c>
      <c r="J44" s="6" t="s">
        <v>361</v>
      </c>
      <c r="K44" s="6"/>
      <c r="L44" s="6"/>
      <c r="M44" s="6" t="s">
        <v>362</v>
      </c>
      <c r="N44" s="7"/>
      <c r="O44" s="7"/>
      <c r="P44" s="7"/>
      <c r="Q44" s="7"/>
      <c r="R44" s="7"/>
      <c r="S44" s="6" t="s">
        <v>363</v>
      </c>
      <c r="T44" s="6" t="s">
        <v>364</v>
      </c>
      <c r="U44" s="6" t="s">
        <v>365</v>
      </c>
    </row>
    <row r="45" customFormat="false" ht="550" hidden="false" customHeight="false" outlineLevel="0" collapsed="false">
      <c r="A45" s="6" t="n">
        <v>44</v>
      </c>
      <c r="B45" s="6" t="s">
        <v>265</v>
      </c>
      <c r="C45" s="6" t="s">
        <v>265</v>
      </c>
      <c r="D45" s="6" t="n">
        <v>100</v>
      </c>
      <c r="E45" s="6" t="n">
        <v>1</v>
      </c>
      <c r="F45" s="6" t="s">
        <v>40</v>
      </c>
      <c r="G45" s="6" t="s">
        <v>327</v>
      </c>
      <c r="H45" s="6" t="s">
        <v>328</v>
      </c>
      <c r="I45" s="6" t="s">
        <v>329</v>
      </c>
      <c r="J45" s="6" t="s">
        <v>330</v>
      </c>
      <c r="K45" s="6"/>
      <c r="L45" s="6"/>
      <c r="M45" s="6" t="s">
        <v>331</v>
      </c>
      <c r="N45" s="7"/>
      <c r="O45" s="7"/>
      <c r="P45" s="7"/>
      <c r="Q45" s="7"/>
      <c r="R45" s="7"/>
      <c r="S45" s="6" t="s">
        <v>366</v>
      </c>
      <c r="T45" s="6" t="s">
        <v>333</v>
      </c>
      <c r="U45" s="6" t="s">
        <v>334</v>
      </c>
    </row>
    <row r="46" customFormat="false" ht="326.1" hidden="false" customHeight="false" outlineLevel="0" collapsed="false">
      <c r="A46" s="6" t="n">
        <v>45</v>
      </c>
      <c r="B46" s="6" t="s">
        <v>265</v>
      </c>
      <c r="C46" s="6" t="s">
        <v>265</v>
      </c>
      <c r="D46" s="6" t="n">
        <v>100</v>
      </c>
      <c r="E46" s="6" t="n">
        <v>1</v>
      </c>
      <c r="F46" s="6" t="s">
        <v>40</v>
      </c>
      <c r="G46" s="6" t="s">
        <v>367</v>
      </c>
      <c r="H46" s="6" t="s">
        <v>368</v>
      </c>
      <c r="I46" s="6" t="s">
        <v>369</v>
      </c>
      <c r="J46" s="6"/>
      <c r="K46" s="6"/>
      <c r="L46" s="6" t="s">
        <v>50</v>
      </c>
      <c r="M46" s="6" t="s">
        <v>370</v>
      </c>
      <c r="N46" s="7"/>
      <c r="O46" s="7"/>
      <c r="P46" s="7"/>
      <c r="Q46" s="7"/>
      <c r="R46" s="7"/>
      <c r="S46" s="6" t="s">
        <v>371</v>
      </c>
      <c r="T46" s="6" t="s">
        <v>372</v>
      </c>
      <c r="U46" s="6" t="s">
        <v>373</v>
      </c>
    </row>
    <row r="47" customFormat="false" ht="281.3" hidden="false" customHeight="false" outlineLevel="0" collapsed="false">
      <c r="A47" s="6" t="n">
        <v>46</v>
      </c>
      <c r="B47" s="6" t="s">
        <v>374</v>
      </c>
      <c r="C47" s="6" t="s">
        <v>374</v>
      </c>
      <c r="D47" s="6" t="n">
        <v>100</v>
      </c>
      <c r="E47" s="6" t="n">
        <v>1</v>
      </c>
      <c r="F47" s="6" t="s">
        <v>40</v>
      </c>
      <c r="G47" s="6" t="s">
        <v>375</v>
      </c>
      <c r="H47" s="6" t="s">
        <v>376</v>
      </c>
      <c r="I47" s="6" t="s">
        <v>377</v>
      </c>
      <c r="J47" s="6" t="s">
        <v>378</v>
      </c>
      <c r="K47" s="6"/>
      <c r="L47" s="6"/>
      <c r="M47" s="6" t="s">
        <v>379</v>
      </c>
      <c r="N47" s="7"/>
      <c r="O47" s="7"/>
      <c r="P47" s="7"/>
      <c r="Q47" s="7"/>
      <c r="R47" s="7"/>
      <c r="S47" s="6" t="s">
        <v>380</v>
      </c>
      <c r="T47" s="6" t="s">
        <v>381</v>
      </c>
      <c r="U47" s="6" t="s">
        <v>382</v>
      </c>
    </row>
    <row r="48" customFormat="false" ht="314.9" hidden="false" customHeight="false" outlineLevel="0" collapsed="false">
      <c r="A48" s="6" t="n">
        <v>47</v>
      </c>
      <c r="B48" s="6" t="s">
        <v>374</v>
      </c>
      <c r="C48" s="6" t="s">
        <v>374</v>
      </c>
      <c r="D48" s="6" t="n">
        <v>99</v>
      </c>
      <c r="E48" s="6" t="n">
        <v>1</v>
      </c>
      <c r="F48" s="6" t="s">
        <v>40</v>
      </c>
      <c r="G48" s="6" t="s">
        <v>383</v>
      </c>
      <c r="H48" s="6" t="s">
        <v>384</v>
      </c>
      <c r="I48" s="6" t="s">
        <v>385</v>
      </c>
      <c r="J48" s="6" t="s">
        <v>386</v>
      </c>
      <c r="K48" s="6"/>
      <c r="L48" s="6"/>
      <c r="M48" s="6" t="s">
        <v>387</v>
      </c>
      <c r="N48" s="7"/>
      <c r="O48" s="7"/>
      <c r="P48" s="7"/>
      <c r="Q48" s="7"/>
      <c r="R48" s="7"/>
      <c r="S48" s="6" t="s">
        <v>388</v>
      </c>
      <c r="T48" s="6" t="s">
        <v>389</v>
      </c>
      <c r="U48" s="6" t="s">
        <v>390</v>
      </c>
    </row>
    <row r="49" customFormat="false" ht="303.7" hidden="false" customHeight="false" outlineLevel="0" collapsed="false">
      <c r="A49" s="6" t="n">
        <v>48</v>
      </c>
      <c r="B49" s="6" t="s">
        <v>374</v>
      </c>
      <c r="C49" s="6" t="s">
        <v>374</v>
      </c>
      <c r="D49" s="6" t="n">
        <v>98</v>
      </c>
      <c r="E49" s="6" t="n">
        <v>1</v>
      </c>
      <c r="F49" s="6" t="s">
        <v>40</v>
      </c>
      <c r="G49" s="6" t="s">
        <v>391</v>
      </c>
      <c r="H49" s="6" t="s">
        <v>392</v>
      </c>
      <c r="I49" s="6" t="s">
        <v>393</v>
      </c>
      <c r="J49" s="6" t="s">
        <v>394</v>
      </c>
      <c r="K49" s="6"/>
      <c r="L49" s="6"/>
      <c r="M49" s="6" t="s">
        <v>395</v>
      </c>
      <c r="N49" s="7"/>
      <c r="O49" s="7"/>
      <c r="P49" s="7"/>
      <c r="Q49" s="7"/>
      <c r="R49" s="7"/>
      <c r="S49" s="6" t="s">
        <v>396</v>
      </c>
      <c r="T49" s="6" t="s">
        <v>397</v>
      </c>
      <c r="U49" s="6" t="s">
        <v>398</v>
      </c>
    </row>
    <row r="50" customFormat="false" ht="684.3" hidden="false" customHeight="false" outlineLevel="0" collapsed="false">
      <c r="A50" s="6" t="n">
        <v>49</v>
      </c>
      <c r="B50" s="6" t="s">
        <v>374</v>
      </c>
      <c r="C50" s="6" t="s">
        <v>374</v>
      </c>
      <c r="D50" s="6" t="n">
        <v>100</v>
      </c>
      <c r="E50" s="6" t="n">
        <v>1</v>
      </c>
      <c r="F50" s="6" t="s">
        <v>40</v>
      </c>
      <c r="G50" s="6" t="s">
        <v>399</v>
      </c>
      <c r="H50" s="6" t="s">
        <v>400</v>
      </c>
      <c r="I50" s="6" t="s">
        <v>401</v>
      </c>
      <c r="J50" s="6" t="s">
        <v>402</v>
      </c>
      <c r="K50" s="6"/>
      <c r="L50" s="6"/>
      <c r="M50" s="6" t="s">
        <v>403</v>
      </c>
      <c r="N50" s="7"/>
      <c r="O50" s="7"/>
      <c r="P50" s="7"/>
      <c r="Q50" s="7"/>
      <c r="R50" s="7"/>
      <c r="S50" s="6" t="s">
        <v>404</v>
      </c>
      <c r="T50" s="6" t="s">
        <v>405</v>
      </c>
      <c r="U50" s="6" t="s">
        <v>406</v>
      </c>
    </row>
    <row r="51" customFormat="false" ht="605.95" hidden="false" customHeight="false" outlineLevel="0" collapsed="false">
      <c r="A51" s="6" t="n">
        <v>50</v>
      </c>
      <c r="B51" s="6" t="s">
        <v>374</v>
      </c>
      <c r="C51" s="6" t="s">
        <v>374</v>
      </c>
      <c r="D51" s="6" t="n">
        <v>100</v>
      </c>
      <c r="E51" s="6" t="n">
        <v>1</v>
      </c>
      <c r="F51" s="6" t="s">
        <v>40</v>
      </c>
      <c r="G51" s="6" t="s">
        <v>407</v>
      </c>
      <c r="H51" s="6" t="s">
        <v>408</v>
      </c>
      <c r="I51" s="6" t="s">
        <v>409</v>
      </c>
      <c r="J51" s="6" t="s">
        <v>410</v>
      </c>
      <c r="K51" s="6"/>
      <c r="L51" s="6"/>
      <c r="M51" s="6" t="s">
        <v>411</v>
      </c>
      <c r="N51" s="7"/>
      <c r="O51" s="7"/>
      <c r="P51" s="7"/>
      <c r="Q51" s="7"/>
      <c r="R51" s="7"/>
      <c r="S51" s="6" t="s">
        <v>412</v>
      </c>
      <c r="T51" s="6" t="s">
        <v>413</v>
      </c>
      <c r="U51" s="6" t="s">
        <v>414</v>
      </c>
    </row>
    <row r="52" customFormat="false" ht="572.35" hidden="false" customHeight="false" outlineLevel="0" collapsed="false">
      <c r="A52" s="6" t="n">
        <v>51</v>
      </c>
      <c r="B52" s="6" t="s">
        <v>374</v>
      </c>
      <c r="C52" s="6" t="s">
        <v>374</v>
      </c>
      <c r="D52" s="6" t="n">
        <v>100</v>
      </c>
      <c r="E52" s="6" t="n">
        <v>1</v>
      </c>
      <c r="F52" s="6" t="s">
        <v>40</v>
      </c>
      <c r="G52" s="6" t="s">
        <v>415</v>
      </c>
      <c r="H52" s="6" t="s">
        <v>416</v>
      </c>
      <c r="I52" s="6" t="s">
        <v>417</v>
      </c>
      <c r="J52" s="6" t="s">
        <v>418</v>
      </c>
      <c r="K52" s="6"/>
      <c r="L52" s="6"/>
      <c r="M52" s="6" t="s">
        <v>419</v>
      </c>
      <c r="N52" s="7"/>
      <c r="O52" s="7"/>
      <c r="P52" s="7"/>
      <c r="Q52" s="7"/>
      <c r="R52" s="7"/>
      <c r="S52" s="6" t="s">
        <v>420</v>
      </c>
      <c r="T52" s="6" t="s">
        <v>381</v>
      </c>
      <c r="U52" s="6" t="s">
        <v>382</v>
      </c>
    </row>
    <row r="53" customFormat="false" ht="303.7" hidden="false" customHeight="false" outlineLevel="0" collapsed="false">
      <c r="A53" s="6" t="n">
        <v>52</v>
      </c>
      <c r="B53" s="6" t="s">
        <v>374</v>
      </c>
      <c r="C53" s="6" t="s">
        <v>374</v>
      </c>
      <c r="D53" s="6" t="n">
        <v>100</v>
      </c>
      <c r="E53" s="6" t="n">
        <v>1</v>
      </c>
      <c r="F53" s="6" t="s">
        <v>40</v>
      </c>
      <c r="G53" s="6" t="s">
        <v>421</v>
      </c>
      <c r="H53" s="6"/>
      <c r="I53" s="6" t="s">
        <v>422</v>
      </c>
      <c r="J53" s="6" t="s">
        <v>423</v>
      </c>
      <c r="K53" s="6" t="s">
        <v>50</v>
      </c>
      <c r="L53" s="6"/>
      <c r="M53" s="6" t="s">
        <v>424</v>
      </c>
      <c r="N53" s="7"/>
      <c r="O53" s="7"/>
      <c r="P53" s="7"/>
      <c r="Q53" s="7"/>
      <c r="R53" s="7"/>
      <c r="S53" s="6" t="s">
        <v>425</v>
      </c>
      <c r="T53" s="6" t="s">
        <v>426</v>
      </c>
      <c r="U53" s="6" t="s">
        <v>427</v>
      </c>
    </row>
    <row r="54" customFormat="false" ht="303.7" hidden="false" customHeight="false" outlineLevel="0" collapsed="false">
      <c r="A54" s="6" t="n">
        <v>53</v>
      </c>
      <c r="B54" s="6" t="s">
        <v>374</v>
      </c>
      <c r="C54" s="6" t="s">
        <v>374</v>
      </c>
      <c r="D54" s="6" t="n">
        <v>98</v>
      </c>
      <c r="E54" s="6" t="n">
        <v>1</v>
      </c>
      <c r="F54" s="6" t="s">
        <v>40</v>
      </c>
      <c r="G54" s="6" t="s">
        <v>428</v>
      </c>
      <c r="H54" s="6" t="s">
        <v>429</v>
      </c>
      <c r="I54" s="6" t="s">
        <v>430</v>
      </c>
      <c r="J54" s="6" t="s">
        <v>431</v>
      </c>
      <c r="K54" s="6"/>
      <c r="L54" s="6"/>
      <c r="M54" s="6" t="s">
        <v>432</v>
      </c>
      <c r="N54" s="7"/>
      <c r="O54" s="7"/>
      <c r="P54" s="7"/>
      <c r="Q54" s="7"/>
      <c r="R54" s="7"/>
      <c r="S54" s="6" t="s">
        <v>433</v>
      </c>
      <c r="T54" s="6" t="s">
        <v>434</v>
      </c>
      <c r="U54" s="6" t="s">
        <v>435</v>
      </c>
    </row>
    <row r="55" customFormat="false" ht="303.7" hidden="false" customHeight="false" outlineLevel="0" collapsed="false">
      <c r="A55" s="6" t="n">
        <v>54</v>
      </c>
      <c r="B55" s="6" t="s">
        <v>374</v>
      </c>
      <c r="C55" s="6" t="s">
        <v>374</v>
      </c>
      <c r="D55" s="6" t="n">
        <v>98</v>
      </c>
      <c r="E55" s="6" t="n">
        <v>1</v>
      </c>
      <c r="F55" s="6" t="s">
        <v>40</v>
      </c>
      <c r="G55" s="6" t="s">
        <v>436</v>
      </c>
      <c r="H55" s="6" t="s">
        <v>437</v>
      </c>
      <c r="I55" s="6" t="s">
        <v>438</v>
      </c>
      <c r="J55" s="6" t="s">
        <v>439</v>
      </c>
      <c r="K55" s="6"/>
      <c r="L55" s="6"/>
      <c r="M55" s="6" t="s">
        <v>440</v>
      </c>
      <c r="N55" s="7"/>
      <c r="O55" s="7"/>
      <c r="P55" s="7"/>
      <c r="Q55" s="7"/>
      <c r="R55" s="7"/>
      <c r="S55" s="6" t="s">
        <v>441</v>
      </c>
      <c r="T55" s="6" t="s">
        <v>442</v>
      </c>
      <c r="U55" s="6" t="s">
        <v>443</v>
      </c>
    </row>
    <row r="56" customFormat="false" ht="303.7" hidden="false" customHeight="false" outlineLevel="0" collapsed="false">
      <c r="A56" s="6" t="n">
        <v>55</v>
      </c>
      <c r="B56" s="6" t="s">
        <v>374</v>
      </c>
      <c r="C56" s="6" t="s">
        <v>374</v>
      </c>
      <c r="D56" s="6" t="n">
        <v>99</v>
      </c>
      <c r="E56" s="6" t="n">
        <v>1</v>
      </c>
      <c r="F56" s="6" t="s">
        <v>40</v>
      </c>
      <c r="G56" s="6" t="s">
        <v>444</v>
      </c>
      <c r="H56" s="6" t="s">
        <v>445</v>
      </c>
      <c r="I56" s="6" t="s">
        <v>446</v>
      </c>
      <c r="J56" s="6" t="s">
        <v>447</v>
      </c>
      <c r="K56" s="6"/>
      <c r="L56" s="6"/>
      <c r="M56" s="6" t="s">
        <v>448</v>
      </c>
      <c r="N56" s="7"/>
      <c r="O56" s="7"/>
      <c r="P56" s="7"/>
      <c r="Q56" s="7"/>
      <c r="R56" s="7"/>
      <c r="S56" s="6" t="s">
        <v>449</v>
      </c>
      <c r="T56" s="6" t="s">
        <v>280</v>
      </c>
      <c r="U56" s="6" t="s">
        <v>281</v>
      </c>
    </row>
    <row r="57" customFormat="false" ht="281.3" hidden="false" customHeight="false" outlineLevel="0" collapsed="false">
      <c r="A57" s="6" t="n">
        <v>56</v>
      </c>
      <c r="B57" s="6" t="s">
        <v>374</v>
      </c>
      <c r="C57" s="6" t="s">
        <v>374</v>
      </c>
      <c r="D57" s="6" t="n">
        <v>98</v>
      </c>
      <c r="E57" s="6" t="n">
        <v>1</v>
      </c>
      <c r="F57" s="6" t="s">
        <v>40</v>
      </c>
      <c r="G57" s="6" t="s">
        <v>450</v>
      </c>
      <c r="H57" s="6"/>
      <c r="I57" s="6" t="s">
        <v>451</v>
      </c>
      <c r="J57" s="6" t="s">
        <v>452</v>
      </c>
      <c r="K57" s="6" t="s">
        <v>50</v>
      </c>
      <c r="L57" s="6"/>
      <c r="M57" s="6" t="s">
        <v>453</v>
      </c>
      <c r="N57" s="7"/>
      <c r="O57" s="7"/>
      <c r="P57" s="7"/>
      <c r="Q57" s="7"/>
      <c r="R57" s="7"/>
      <c r="S57" s="6" t="s">
        <v>454</v>
      </c>
      <c r="T57" s="6" t="s">
        <v>455</v>
      </c>
      <c r="U57" s="6" t="s">
        <v>456</v>
      </c>
    </row>
    <row r="58" customFormat="false" ht="326.1" hidden="false" customHeight="false" outlineLevel="0" collapsed="false">
      <c r="A58" s="6" t="n">
        <v>57</v>
      </c>
      <c r="B58" s="6" t="s">
        <v>374</v>
      </c>
      <c r="C58" s="6" t="s">
        <v>374</v>
      </c>
      <c r="D58" s="6" t="n">
        <v>100</v>
      </c>
      <c r="E58" s="6" t="n">
        <v>1</v>
      </c>
      <c r="F58" s="6" t="s">
        <v>40</v>
      </c>
      <c r="G58" s="6" t="s">
        <v>457</v>
      </c>
      <c r="H58" s="6" t="s">
        <v>458</v>
      </c>
      <c r="I58" s="6" t="s">
        <v>459</v>
      </c>
      <c r="J58" s="6" t="s">
        <v>460</v>
      </c>
      <c r="K58" s="6"/>
      <c r="L58" s="6"/>
      <c r="M58" s="6" t="s">
        <v>461</v>
      </c>
      <c r="N58" s="7"/>
      <c r="O58" s="7"/>
      <c r="P58" s="7"/>
      <c r="Q58" s="7"/>
      <c r="R58" s="7"/>
      <c r="S58" s="6" t="s">
        <v>462</v>
      </c>
      <c r="T58" s="6" t="s">
        <v>311</v>
      </c>
      <c r="U58" s="6" t="s">
        <v>312</v>
      </c>
    </row>
    <row r="59" customFormat="false" ht="348.5" hidden="false" customHeight="false" outlineLevel="0" collapsed="false">
      <c r="A59" s="6" t="n">
        <v>58</v>
      </c>
      <c r="B59" s="6" t="s">
        <v>374</v>
      </c>
      <c r="C59" s="6" t="s">
        <v>374</v>
      </c>
      <c r="D59" s="6" t="n">
        <v>100</v>
      </c>
      <c r="E59" s="6" t="n">
        <v>1</v>
      </c>
      <c r="F59" s="6" t="s">
        <v>40</v>
      </c>
      <c r="G59" s="6" t="s">
        <v>463</v>
      </c>
      <c r="H59" s="6" t="s">
        <v>464</v>
      </c>
      <c r="I59" s="6" t="s">
        <v>465</v>
      </c>
      <c r="J59" s="6"/>
      <c r="K59" s="6"/>
      <c r="L59" s="6" t="s">
        <v>466</v>
      </c>
      <c r="M59" s="6" t="s">
        <v>467</v>
      </c>
      <c r="N59" s="7"/>
      <c r="O59" s="7"/>
      <c r="P59" s="7"/>
      <c r="Q59" s="7"/>
      <c r="R59" s="7"/>
      <c r="S59" s="6" t="s">
        <v>468</v>
      </c>
      <c r="T59" s="6" t="s">
        <v>469</v>
      </c>
      <c r="U59" s="6" t="s">
        <v>470</v>
      </c>
    </row>
    <row r="60" customFormat="false" ht="348.5" hidden="false" customHeight="false" outlineLevel="0" collapsed="false">
      <c r="A60" s="6" t="n">
        <v>59</v>
      </c>
      <c r="B60" s="6" t="s">
        <v>374</v>
      </c>
      <c r="C60" s="6" t="s">
        <v>374</v>
      </c>
      <c r="D60" s="6" t="n">
        <v>100</v>
      </c>
      <c r="E60" s="6" t="n">
        <v>1</v>
      </c>
      <c r="F60" s="6" t="s">
        <v>40</v>
      </c>
      <c r="G60" s="6" t="s">
        <v>471</v>
      </c>
      <c r="H60" s="6" t="s">
        <v>472</v>
      </c>
      <c r="I60" s="6" t="s">
        <v>473</v>
      </c>
      <c r="J60" s="6" t="s">
        <v>474</v>
      </c>
      <c r="K60" s="6"/>
      <c r="L60" s="6"/>
      <c r="M60" s="6" t="s">
        <v>475</v>
      </c>
      <c r="N60" s="7"/>
      <c r="O60" s="7"/>
      <c r="P60" s="7"/>
      <c r="Q60" s="7"/>
      <c r="R60" s="7"/>
      <c r="S60" s="6" t="s">
        <v>476</v>
      </c>
      <c r="T60" s="6" t="s">
        <v>477</v>
      </c>
      <c r="U60" s="6" t="s">
        <v>478</v>
      </c>
    </row>
    <row r="61" customFormat="false" ht="460.4" hidden="false" customHeight="false" outlineLevel="0" collapsed="false">
      <c r="A61" s="6" t="n">
        <v>60</v>
      </c>
      <c r="B61" s="6" t="s">
        <v>374</v>
      </c>
      <c r="C61" s="6" t="s">
        <v>374</v>
      </c>
      <c r="D61" s="6" t="n">
        <v>99</v>
      </c>
      <c r="E61" s="6" t="n">
        <v>1</v>
      </c>
      <c r="F61" s="6" t="s">
        <v>479</v>
      </c>
      <c r="G61" s="6" t="s">
        <v>480</v>
      </c>
      <c r="H61" s="6"/>
      <c r="I61" s="6" t="s">
        <v>481</v>
      </c>
      <c r="J61" s="6"/>
      <c r="K61" s="6" t="s">
        <v>482</v>
      </c>
      <c r="L61" s="6" t="s">
        <v>482</v>
      </c>
      <c r="M61" s="6" t="s">
        <v>483</v>
      </c>
      <c r="N61" s="7"/>
      <c r="O61" s="7"/>
      <c r="P61" s="7"/>
      <c r="Q61" s="7"/>
      <c r="R61" s="7"/>
      <c r="S61" s="6" t="s">
        <v>484</v>
      </c>
      <c r="T61" s="6" t="s">
        <v>485</v>
      </c>
      <c r="U61" s="6" t="s">
        <v>486</v>
      </c>
    </row>
    <row r="62" customFormat="false" ht="270.1" hidden="false" customHeight="false" outlineLevel="0" collapsed="false">
      <c r="A62" s="6" t="n">
        <v>61</v>
      </c>
      <c r="B62" s="6" t="s">
        <v>487</v>
      </c>
      <c r="C62" s="6" t="s">
        <v>488</v>
      </c>
      <c r="D62" s="6" t="n">
        <v>99.2</v>
      </c>
      <c r="E62" s="6" t="n">
        <v>1</v>
      </c>
      <c r="F62" s="6" t="s">
        <v>479</v>
      </c>
      <c r="G62" s="6" t="s">
        <v>489</v>
      </c>
      <c r="H62" s="6"/>
      <c r="I62" s="6" t="s">
        <v>490</v>
      </c>
      <c r="J62" s="6"/>
      <c r="K62" s="6" t="s">
        <v>482</v>
      </c>
      <c r="L62" s="6" t="s">
        <v>482</v>
      </c>
      <c r="M62" s="6" t="s">
        <v>491</v>
      </c>
      <c r="N62" s="7"/>
      <c r="O62" s="7"/>
      <c r="P62" s="7"/>
      <c r="Q62" s="7"/>
      <c r="R62" s="7"/>
      <c r="S62" s="6" t="s">
        <v>492</v>
      </c>
      <c r="T62" s="6" t="s">
        <v>493</v>
      </c>
      <c r="U62" s="6" t="s">
        <v>494</v>
      </c>
    </row>
    <row r="63" customFormat="false" ht="214.15" hidden="false" customHeight="false" outlineLevel="0" collapsed="false">
      <c r="A63" s="6" t="n">
        <v>62</v>
      </c>
      <c r="B63" s="6" t="s">
        <v>487</v>
      </c>
      <c r="C63" s="6" t="s">
        <v>488</v>
      </c>
      <c r="D63" s="6" t="n">
        <v>97.4</v>
      </c>
      <c r="E63" s="6" t="n">
        <v>1</v>
      </c>
      <c r="F63" s="6" t="s">
        <v>40</v>
      </c>
      <c r="G63" s="6" t="s">
        <v>495</v>
      </c>
      <c r="H63" s="6" t="s">
        <v>496</v>
      </c>
      <c r="I63" s="6" t="s">
        <v>497</v>
      </c>
      <c r="J63" s="6" t="s">
        <v>498</v>
      </c>
      <c r="K63" s="6"/>
      <c r="L63" s="6"/>
      <c r="M63" s="6" t="s">
        <v>499</v>
      </c>
      <c r="N63" s="7"/>
      <c r="O63" s="7"/>
      <c r="P63" s="7"/>
      <c r="Q63" s="7"/>
      <c r="R63" s="7"/>
      <c r="S63" s="6" t="s">
        <v>500</v>
      </c>
      <c r="T63" s="6" t="s">
        <v>501</v>
      </c>
      <c r="U63" s="6" t="s">
        <v>502</v>
      </c>
    </row>
    <row r="64" customFormat="false" ht="247.75" hidden="false" customHeight="false" outlineLevel="0" collapsed="false">
      <c r="A64" s="6" t="n">
        <v>63</v>
      </c>
      <c r="B64" s="6" t="s">
        <v>487</v>
      </c>
      <c r="C64" s="6" t="s">
        <v>488</v>
      </c>
      <c r="D64" s="6" t="n">
        <v>99.4</v>
      </c>
      <c r="E64" s="6" t="n">
        <v>1</v>
      </c>
      <c r="F64" s="6" t="s">
        <v>40</v>
      </c>
      <c r="G64" s="6" t="s">
        <v>503</v>
      </c>
      <c r="H64" s="6" t="s">
        <v>504</v>
      </c>
      <c r="I64" s="6" t="s">
        <v>505</v>
      </c>
      <c r="J64" s="6" t="s">
        <v>506</v>
      </c>
      <c r="K64" s="6"/>
      <c r="L64" s="6"/>
      <c r="M64" s="6" t="s">
        <v>507</v>
      </c>
      <c r="N64" s="7"/>
      <c r="O64" s="7"/>
      <c r="P64" s="7"/>
      <c r="Q64" s="7"/>
      <c r="R64" s="7"/>
      <c r="S64" s="6" t="s">
        <v>508</v>
      </c>
      <c r="T64" s="6" t="s">
        <v>509</v>
      </c>
      <c r="U64" s="6" t="s">
        <v>510</v>
      </c>
    </row>
    <row r="65" customFormat="false" ht="225.35" hidden="false" customHeight="false" outlineLevel="0" collapsed="false">
      <c r="A65" s="6" t="n">
        <v>64</v>
      </c>
      <c r="B65" s="6" t="s">
        <v>487</v>
      </c>
      <c r="C65" s="6" t="s">
        <v>488</v>
      </c>
      <c r="D65" s="6" t="n">
        <v>99.5</v>
      </c>
      <c r="E65" s="6" t="n">
        <v>1</v>
      </c>
      <c r="F65" s="6" t="s">
        <v>40</v>
      </c>
      <c r="G65" s="6" t="s">
        <v>511</v>
      </c>
      <c r="H65" s="6" t="s">
        <v>512</v>
      </c>
      <c r="I65" s="6" t="s">
        <v>513</v>
      </c>
      <c r="J65" s="6" t="s">
        <v>514</v>
      </c>
      <c r="K65" s="6"/>
      <c r="L65" s="6"/>
      <c r="M65" s="6" t="s">
        <v>515</v>
      </c>
      <c r="N65" s="7"/>
      <c r="O65" s="7"/>
      <c r="P65" s="7"/>
      <c r="Q65" s="7"/>
      <c r="R65" s="7"/>
      <c r="S65" s="6" t="s">
        <v>516</v>
      </c>
      <c r="T65" s="6" t="s">
        <v>517</v>
      </c>
      <c r="U65" s="6" t="s">
        <v>518</v>
      </c>
    </row>
    <row r="66" customFormat="false" ht="270.1" hidden="false" customHeight="false" outlineLevel="0" collapsed="false">
      <c r="A66" s="6" t="n">
        <v>65</v>
      </c>
      <c r="B66" s="6" t="s">
        <v>487</v>
      </c>
      <c r="C66" s="6" t="s">
        <v>488</v>
      </c>
      <c r="D66" s="6" t="n">
        <v>99.4</v>
      </c>
      <c r="E66" s="6" t="n">
        <v>1</v>
      </c>
      <c r="F66" s="6" t="s">
        <v>40</v>
      </c>
      <c r="G66" s="6" t="s">
        <v>519</v>
      </c>
      <c r="H66" s="6" t="s">
        <v>520</v>
      </c>
      <c r="I66" s="6" t="s">
        <v>521</v>
      </c>
      <c r="J66" s="6" t="s">
        <v>522</v>
      </c>
      <c r="K66" s="6"/>
      <c r="L66" s="6"/>
      <c r="M66" s="6" t="s">
        <v>523</v>
      </c>
      <c r="N66" s="7"/>
      <c r="O66" s="7"/>
      <c r="P66" s="7"/>
      <c r="Q66" s="7"/>
      <c r="R66" s="7"/>
      <c r="S66" s="6" t="s">
        <v>524</v>
      </c>
      <c r="T66" s="6" t="s">
        <v>525</v>
      </c>
      <c r="U66" s="6" t="s">
        <v>526</v>
      </c>
    </row>
    <row r="67" customFormat="false" ht="214.15" hidden="false" customHeight="false" outlineLevel="0" collapsed="false">
      <c r="A67" s="6" t="n">
        <v>66</v>
      </c>
      <c r="B67" s="6" t="s">
        <v>487</v>
      </c>
      <c r="C67" s="6" t="s">
        <v>488</v>
      </c>
      <c r="D67" s="6" t="n">
        <v>98.9</v>
      </c>
      <c r="E67" s="6" t="n">
        <v>1</v>
      </c>
      <c r="F67" s="6" t="s">
        <v>40</v>
      </c>
      <c r="G67" s="6" t="s">
        <v>527</v>
      </c>
      <c r="H67" s="6" t="s">
        <v>528</v>
      </c>
      <c r="I67" s="6" t="s">
        <v>529</v>
      </c>
      <c r="J67" s="6" t="s">
        <v>530</v>
      </c>
      <c r="K67" s="6"/>
      <c r="L67" s="6"/>
      <c r="M67" s="6" t="s">
        <v>531</v>
      </c>
      <c r="N67" s="7"/>
      <c r="O67" s="7"/>
      <c r="P67" s="7"/>
      <c r="Q67" s="7"/>
      <c r="R67" s="7"/>
      <c r="S67" s="6" t="s">
        <v>532</v>
      </c>
      <c r="T67" s="6" t="s">
        <v>533</v>
      </c>
      <c r="U67" s="6" t="s">
        <v>534</v>
      </c>
    </row>
    <row r="68" customFormat="false" ht="247.75" hidden="false" customHeight="false" outlineLevel="0" collapsed="false">
      <c r="A68" s="6" t="n">
        <v>67</v>
      </c>
      <c r="B68" s="6" t="s">
        <v>487</v>
      </c>
      <c r="C68" s="6" t="s">
        <v>488</v>
      </c>
      <c r="D68" s="6" t="n">
        <v>99.6</v>
      </c>
      <c r="E68" s="6" t="n">
        <v>1</v>
      </c>
      <c r="F68" s="6" t="s">
        <v>40</v>
      </c>
      <c r="G68" s="6" t="s">
        <v>535</v>
      </c>
      <c r="H68" s="6" t="s">
        <v>536</v>
      </c>
      <c r="I68" s="6" t="s">
        <v>537</v>
      </c>
      <c r="J68" s="6" t="s">
        <v>538</v>
      </c>
      <c r="K68" s="6"/>
      <c r="L68" s="6"/>
      <c r="M68" s="6" t="s">
        <v>539</v>
      </c>
      <c r="N68" s="7"/>
      <c r="O68" s="7"/>
      <c r="P68" s="7"/>
      <c r="Q68" s="7"/>
      <c r="R68" s="7"/>
      <c r="S68" s="6" t="s">
        <v>540</v>
      </c>
      <c r="T68" s="6" t="s">
        <v>541</v>
      </c>
      <c r="U68" s="6" t="s">
        <v>542</v>
      </c>
    </row>
    <row r="69" customFormat="false" ht="202.95" hidden="false" customHeight="false" outlineLevel="0" collapsed="false">
      <c r="A69" s="6" t="n">
        <v>68</v>
      </c>
      <c r="B69" s="6" t="s">
        <v>487</v>
      </c>
      <c r="C69" s="6" t="s">
        <v>488</v>
      </c>
      <c r="D69" s="6" t="n">
        <v>98.9</v>
      </c>
      <c r="E69" s="6" t="n">
        <v>1</v>
      </c>
      <c r="F69" s="6" t="s">
        <v>40</v>
      </c>
      <c r="G69" s="6" t="s">
        <v>543</v>
      </c>
      <c r="H69" s="6" t="s">
        <v>544</v>
      </c>
      <c r="I69" s="6" t="s">
        <v>545</v>
      </c>
      <c r="J69" s="6" t="s">
        <v>546</v>
      </c>
      <c r="K69" s="6"/>
      <c r="L69" s="6"/>
      <c r="M69" s="6" t="s">
        <v>547</v>
      </c>
      <c r="N69" s="7"/>
      <c r="O69" s="7"/>
      <c r="P69" s="7"/>
      <c r="Q69" s="7"/>
      <c r="R69" s="7"/>
      <c r="S69" s="6" t="s">
        <v>548</v>
      </c>
      <c r="T69" s="6" t="s">
        <v>549</v>
      </c>
      <c r="U69" s="6" t="s">
        <v>550</v>
      </c>
    </row>
    <row r="70" customFormat="false" ht="281.3" hidden="false" customHeight="false" outlineLevel="0" collapsed="false">
      <c r="A70" s="6" t="n">
        <v>69</v>
      </c>
      <c r="B70" s="6" t="s">
        <v>487</v>
      </c>
      <c r="C70" s="6" t="s">
        <v>488</v>
      </c>
      <c r="D70" s="6" t="n">
        <v>99.6</v>
      </c>
      <c r="E70" s="6" t="n">
        <v>1</v>
      </c>
      <c r="F70" s="6" t="s">
        <v>40</v>
      </c>
      <c r="G70" s="6" t="s">
        <v>551</v>
      </c>
      <c r="H70" s="6" t="s">
        <v>552</v>
      </c>
      <c r="I70" s="6" t="s">
        <v>553</v>
      </c>
      <c r="J70" s="6" t="s">
        <v>554</v>
      </c>
      <c r="K70" s="6"/>
      <c r="L70" s="6"/>
      <c r="M70" s="6" t="s">
        <v>555</v>
      </c>
      <c r="N70" s="7"/>
      <c r="O70" s="7"/>
      <c r="P70" s="7"/>
      <c r="Q70" s="7"/>
      <c r="R70" s="7"/>
      <c r="S70" s="6" t="s">
        <v>556</v>
      </c>
      <c r="T70" s="6" t="s">
        <v>557</v>
      </c>
      <c r="U70" s="6" t="s">
        <v>558</v>
      </c>
    </row>
    <row r="71" customFormat="false" ht="214.15" hidden="false" customHeight="false" outlineLevel="0" collapsed="false">
      <c r="A71" s="6" t="n">
        <v>70</v>
      </c>
      <c r="B71" s="6" t="s">
        <v>487</v>
      </c>
      <c r="C71" s="6" t="s">
        <v>488</v>
      </c>
      <c r="D71" s="6" t="n">
        <v>98</v>
      </c>
      <c r="E71" s="6" t="n">
        <v>1</v>
      </c>
      <c r="F71" s="6" t="s">
        <v>40</v>
      </c>
      <c r="G71" s="6" t="s">
        <v>559</v>
      </c>
      <c r="H71" s="6" t="s">
        <v>560</v>
      </c>
      <c r="I71" s="6" t="s">
        <v>561</v>
      </c>
      <c r="J71" s="6" t="s">
        <v>562</v>
      </c>
      <c r="K71" s="6"/>
      <c r="L71" s="6"/>
      <c r="M71" s="6" t="s">
        <v>563</v>
      </c>
      <c r="N71" s="7"/>
      <c r="O71" s="7"/>
      <c r="P71" s="7"/>
      <c r="Q71" s="7"/>
      <c r="R71" s="7"/>
      <c r="S71" s="6" t="s">
        <v>564</v>
      </c>
      <c r="T71" s="6" t="s">
        <v>565</v>
      </c>
      <c r="U71" s="6" t="s">
        <v>566</v>
      </c>
    </row>
    <row r="72" customFormat="false" ht="292.5" hidden="false" customHeight="false" outlineLevel="0" collapsed="false">
      <c r="A72" s="6" t="n">
        <v>71</v>
      </c>
      <c r="B72" s="6" t="s">
        <v>487</v>
      </c>
      <c r="C72" s="6" t="s">
        <v>488</v>
      </c>
      <c r="D72" s="6" t="n">
        <v>98.3</v>
      </c>
      <c r="E72" s="6" t="n">
        <v>1</v>
      </c>
      <c r="F72" s="6" t="s">
        <v>567</v>
      </c>
      <c r="G72" s="6" t="s">
        <v>568</v>
      </c>
      <c r="H72" s="6"/>
      <c r="I72" s="6" t="s">
        <v>569</v>
      </c>
      <c r="J72" s="6"/>
      <c r="K72" s="6" t="s">
        <v>570</v>
      </c>
      <c r="L72" s="6" t="s">
        <v>570</v>
      </c>
      <c r="M72" s="6" t="s">
        <v>571</v>
      </c>
      <c r="N72" s="7"/>
      <c r="O72" s="7"/>
      <c r="P72" s="7"/>
      <c r="Q72" s="7"/>
      <c r="R72" s="7"/>
      <c r="S72" s="6" t="s">
        <v>572</v>
      </c>
      <c r="T72" s="6" t="s">
        <v>573</v>
      </c>
      <c r="U72" s="6" t="s">
        <v>574</v>
      </c>
    </row>
    <row r="73" customFormat="false" ht="202.95" hidden="false" customHeight="false" outlineLevel="0" collapsed="false">
      <c r="A73" s="6" t="n">
        <v>72</v>
      </c>
      <c r="B73" s="6" t="s">
        <v>487</v>
      </c>
      <c r="C73" s="6" t="s">
        <v>488</v>
      </c>
      <c r="D73" s="6" t="n">
        <v>99.1</v>
      </c>
      <c r="E73" s="6" t="n">
        <v>1</v>
      </c>
      <c r="F73" s="6" t="s">
        <v>40</v>
      </c>
      <c r="G73" s="6" t="s">
        <v>575</v>
      </c>
      <c r="H73" s="6" t="s">
        <v>576</v>
      </c>
      <c r="I73" s="6" t="s">
        <v>577</v>
      </c>
      <c r="J73" s="6" t="s">
        <v>578</v>
      </c>
      <c r="K73" s="6"/>
      <c r="L73" s="6"/>
      <c r="M73" s="6" t="s">
        <v>579</v>
      </c>
      <c r="N73" s="7"/>
      <c r="O73" s="7"/>
      <c r="P73" s="7"/>
      <c r="Q73" s="7"/>
      <c r="R73" s="7"/>
      <c r="S73" s="6" t="s">
        <v>580</v>
      </c>
      <c r="T73" s="6" t="s">
        <v>581</v>
      </c>
      <c r="U73" s="6" t="s">
        <v>582</v>
      </c>
    </row>
    <row r="74" customFormat="false" ht="281.3" hidden="false" customHeight="false" outlineLevel="0" collapsed="false">
      <c r="A74" s="6" t="n">
        <v>73</v>
      </c>
      <c r="B74" s="6" t="s">
        <v>487</v>
      </c>
      <c r="C74" s="6" t="s">
        <v>488</v>
      </c>
      <c r="D74" s="6" t="n">
        <v>99.2</v>
      </c>
      <c r="E74" s="6" t="n">
        <v>1</v>
      </c>
      <c r="F74" s="6" t="s">
        <v>40</v>
      </c>
      <c r="G74" s="6" t="s">
        <v>583</v>
      </c>
      <c r="H74" s="6" t="s">
        <v>584</v>
      </c>
      <c r="I74" s="6" t="s">
        <v>585</v>
      </c>
      <c r="J74" s="6"/>
      <c r="K74" s="6"/>
      <c r="L74" s="6" t="s">
        <v>50</v>
      </c>
      <c r="M74" s="6" t="s">
        <v>586</v>
      </c>
      <c r="N74" s="7"/>
      <c r="O74" s="7"/>
      <c r="P74" s="7"/>
      <c r="Q74" s="7"/>
      <c r="R74" s="7"/>
      <c r="S74" s="6" t="s">
        <v>587</v>
      </c>
      <c r="T74" s="6" t="s">
        <v>588</v>
      </c>
      <c r="U74" s="6" t="s">
        <v>589</v>
      </c>
    </row>
    <row r="75" customFormat="false" ht="326.1" hidden="false" customHeight="false" outlineLevel="0" collapsed="false">
      <c r="A75" s="6" t="n">
        <v>74</v>
      </c>
      <c r="B75" s="6" t="s">
        <v>487</v>
      </c>
      <c r="C75" s="6" t="s">
        <v>488</v>
      </c>
      <c r="D75" s="6" t="n">
        <v>99.1</v>
      </c>
      <c r="E75" s="6" t="n">
        <v>1</v>
      </c>
      <c r="F75" s="6" t="s">
        <v>40</v>
      </c>
      <c r="G75" s="6" t="s">
        <v>590</v>
      </c>
      <c r="H75" s="6" t="s">
        <v>591</v>
      </c>
      <c r="I75" s="6" t="s">
        <v>592</v>
      </c>
      <c r="J75" s="6" t="s">
        <v>593</v>
      </c>
      <c r="K75" s="6"/>
      <c r="L75" s="6"/>
      <c r="M75" s="6" t="s">
        <v>594</v>
      </c>
      <c r="N75" s="7"/>
      <c r="O75" s="7"/>
      <c r="P75" s="7"/>
      <c r="Q75" s="7"/>
      <c r="R75" s="7"/>
      <c r="S75" s="6" t="s">
        <v>595</v>
      </c>
      <c r="T75" s="6" t="s">
        <v>596</v>
      </c>
      <c r="U75" s="6" t="s">
        <v>597</v>
      </c>
    </row>
    <row r="76" customFormat="false" ht="225.35" hidden="false" customHeight="false" outlineLevel="0" collapsed="false">
      <c r="A76" s="6" t="n">
        <v>75</v>
      </c>
      <c r="B76" s="6" t="s">
        <v>487</v>
      </c>
      <c r="C76" s="6" t="s">
        <v>488</v>
      </c>
      <c r="D76" s="6" t="n">
        <v>99.4</v>
      </c>
      <c r="E76" s="6" t="n">
        <v>1</v>
      </c>
      <c r="F76" s="6" t="s">
        <v>40</v>
      </c>
      <c r="G76" s="6" t="s">
        <v>598</v>
      </c>
      <c r="H76" s="6" t="s">
        <v>599</v>
      </c>
      <c r="I76" s="6" t="s">
        <v>600</v>
      </c>
      <c r="J76" s="6" t="s">
        <v>601</v>
      </c>
      <c r="K76" s="6"/>
      <c r="L76" s="6"/>
      <c r="M76" s="6" t="s">
        <v>602</v>
      </c>
      <c r="N76" s="7"/>
      <c r="O76" s="7"/>
      <c r="P76" s="7"/>
      <c r="Q76" s="7"/>
      <c r="R76" s="7"/>
      <c r="S76" s="6" t="s">
        <v>603</v>
      </c>
      <c r="T76" s="6" t="s">
        <v>604</v>
      </c>
      <c r="U76" s="6" t="s">
        <v>605</v>
      </c>
    </row>
    <row r="77" customFormat="false" ht="303.7" hidden="false" customHeight="false" outlineLevel="0" collapsed="false">
      <c r="A77" s="6" t="n">
        <v>76</v>
      </c>
      <c r="B77" s="6" t="s">
        <v>606</v>
      </c>
      <c r="C77" s="6" t="s">
        <v>488</v>
      </c>
      <c r="D77" s="6" t="n">
        <v>94.4</v>
      </c>
      <c r="E77" s="6" t="n">
        <v>1</v>
      </c>
      <c r="F77" s="6" t="s">
        <v>40</v>
      </c>
      <c r="G77" s="6" t="s">
        <v>607</v>
      </c>
      <c r="H77" s="6"/>
      <c r="I77" s="6" t="s">
        <v>608</v>
      </c>
      <c r="J77" s="6" t="s">
        <v>609</v>
      </c>
      <c r="K77" s="6" t="s">
        <v>50</v>
      </c>
      <c r="L77" s="6"/>
      <c r="M77" s="6" t="s">
        <v>610</v>
      </c>
      <c r="N77" s="7"/>
      <c r="O77" s="7"/>
      <c r="P77" s="7"/>
      <c r="Q77" s="7"/>
      <c r="R77" s="7"/>
      <c r="S77" s="6" t="s">
        <v>611</v>
      </c>
      <c r="T77" s="6" t="s">
        <v>612</v>
      </c>
      <c r="U77" s="6" t="s">
        <v>613</v>
      </c>
    </row>
    <row r="78" customFormat="false" ht="225.35" hidden="false" customHeight="false" outlineLevel="0" collapsed="false">
      <c r="A78" s="6" t="n">
        <v>77</v>
      </c>
      <c r="B78" s="6" t="s">
        <v>606</v>
      </c>
      <c r="C78" s="6" t="s">
        <v>488</v>
      </c>
      <c r="D78" s="6" t="n">
        <v>92.7</v>
      </c>
      <c r="E78" s="6" t="n">
        <v>1</v>
      </c>
      <c r="F78" s="6" t="s">
        <v>40</v>
      </c>
      <c r="G78" s="6" t="s">
        <v>614</v>
      </c>
      <c r="H78" s="6" t="s">
        <v>615</v>
      </c>
      <c r="I78" s="6" t="s">
        <v>616</v>
      </c>
      <c r="J78" s="6" t="s">
        <v>617</v>
      </c>
      <c r="K78" s="6"/>
      <c r="L78" s="6"/>
      <c r="M78" s="6" t="s">
        <v>618</v>
      </c>
      <c r="N78" s="7"/>
      <c r="O78" s="7"/>
      <c r="P78" s="7"/>
      <c r="Q78" s="7"/>
      <c r="R78" s="7"/>
      <c r="S78" s="6" t="s">
        <v>619</v>
      </c>
      <c r="T78" s="6" t="s">
        <v>620</v>
      </c>
      <c r="U78" s="6" t="s">
        <v>621</v>
      </c>
    </row>
    <row r="79" customFormat="false" ht="370.85" hidden="false" customHeight="false" outlineLevel="0" collapsed="false">
      <c r="A79" s="6" t="n">
        <v>78</v>
      </c>
      <c r="B79" s="6" t="s">
        <v>606</v>
      </c>
      <c r="C79" s="6" t="s">
        <v>488</v>
      </c>
      <c r="D79" s="6" t="n">
        <v>93.3</v>
      </c>
      <c r="E79" s="6" t="n">
        <v>1</v>
      </c>
      <c r="F79" s="6" t="s">
        <v>40</v>
      </c>
      <c r="G79" s="6" t="s">
        <v>622</v>
      </c>
      <c r="H79" s="6" t="s">
        <v>623</v>
      </c>
      <c r="I79" s="6" t="s">
        <v>624</v>
      </c>
      <c r="J79" s="6" t="s">
        <v>625</v>
      </c>
      <c r="K79" s="6"/>
      <c r="L79" s="6"/>
      <c r="M79" s="6" t="s">
        <v>626</v>
      </c>
      <c r="N79" s="7"/>
      <c r="O79" s="7"/>
      <c r="P79" s="7"/>
      <c r="Q79" s="7"/>
      <c r="R79" s="7"/>
      <c r="S79" s="6" t="s">
        <v>627</v>
      </c>
      <c r="T79" s="6" t="s">
        <v>628</v>
      </c>
      <c r="U79" s="6" t="s">
        <v>629</v>
      </c>
    </row>
    <row r="80" customFormat="false" ht="225.35" hidden="false" customHeight="false" outlineLevel="0" collapsed="false">
      <c r="A80" s="6" t="n">
        <v>79</v>
      </c>
      <c r="B80" s="6" t="s">
        <v>606</v>
      </c>
      <c r="C80" s="6" t="s">
        <v>488</v>
      </c>
      <c r="D80" s="6" t="n">
        <v>87.3</v>
      </c>
      <c r="E80" s="6" t="n">
        <v>1</v>
      </c>
      <c r="F80" s="6" t="s">
        <v>567</v>
      </c>
      <c r="G80" s="6" t="s">
        <v>630</v>
      </c>
      <c r="H80" s="6"/>
      <c r="I80" s="6" t="s">
        <v>631</v>
      </c>
      <c r="J80" s="6"/>
      <c r="K80" s="6" t="s">
        <v>570</v>
      </c>
      <c r="L80" s="6" t="s">
        <v>570</v>
      </c>
      <c r="M80" s="6" t="s">
        <v>632</v>
      </c>
      <c r="N80" s="7"/>
      <c r="O80" s="7"/>
      <c r="P80" s="7"/>
      <c r="Q80" s="7"/>
      <c r="R80" s="7"/>
      <c r="S80" s="6" t="s">
        <v>633</v>
      </c>
      <c r="T80" s="6" t="s">
        <v>634</v>
      </c>
      <c r="U80" s="6" t="s">
        <v>635</v>
      </c>
    </row>
    <row r="81" customFormat="false" ht="717.9" hidden="false" customHeight="false" outlineLevel="0" collapsed="false">
      <c r="A81" s="6" t="n">
        <v>80</v>
      </c>
      <c r="B81" s="6" t="s">
        <v>606</v>
      </c>
      <c r="C81" s="6" t="s">
        <v>488</v>
      </c>
      <c r="D81" s="6" t="n">
        <v>87.8</v>
      </c>
      <c r="E81" s="6" t="n">
        <v>1</v>
      </c>
      <c r="F81" s="6" t="s">
        <v>40</v>
      </c>
      <c r="G81" s="6" t="s">
        <v>636</v>
      </c>
      <c r="H81" s="6" t="s">
        <v>637</v>
      </c>
      <c r="I81" s="6" t="s">
        <v>638</v>
      </c>
      <c r="J81" s="6"/>
      <c r="K81" s="6"/>
      <c r="L81" s="6" t="s">
        <v>50</v>
      </c>
      <c r="M81" s="6" t="s">
        <v>639</v>
      </c>
      <c r="N81" s="7"/>
      <c r="O81" s="7"/>
      <c r="P81" s="7"/>
      <c r="Q81" s="7"/>
      <c r="R81" s="7"/>
      <c r="S81" s="6" t="s">
        <v>640</v>
      </c>
      <c r="T81" s="6" t="s">
        <v>641</v>
      </c>
      <c r="U81" s="6" t="s">
        <v>642</v>
      </c>
    </row>
    <row r="82" customFormat="false" ht="281.3" hidden="false" customHeight="false" outlineLevel="0" collapsed="false">
      <c r="A82" s="6" t="n">
        <v>81</v>
      </c>
      <c r="B82" s="6" t="s">
        <v>606</v>
      </c>
      <c r="C82" s="6" t="s">
        <v>488</v>
      </c>
      <c r="D82" s="6" t="n">
        <v>93.2</v>
      </c>
      <c r="E82" s="6" t="n">
        <v>1</v>
      </c>
      <c r="F82" s="6" t="s">
        <v>40</v>
      </c>
      <c r="G82" s="6" t="s">
        <v>643</v>
      </c>
      <c r="H82" s="6" t="s">
        <v>644</v>
      </c>
      <c r="I82" s="6" t="s">
        <v>645</v>
      </c>
      <c r="J82" s="6" t="s">
        <v>646</v>
      </c>
      <c r="K82" s="6"/>
      <c r="L82" s="6"/>
      <c r="M82" s="6" t="s">
        <v>647</v>
      </c>
      <c r="N82" s="7"/>
      <c r="O82" s="7"/>
      <c r="P82" s="7"/>
      <c r="Q82" s="7"/>
      <c r="R82" s="7"/>
      <c r="S82" s="6" t="s">
        <v>648</v>
      </c>
      <c r="T82" s="6" t="s">
        <v>233</v>
      </c>
      <c r="U82" s="6" t="s">
        <v>234</v>
      </c>
    </row>
    <row r="83" customFormat="false" ht="258.95" hidden="false" customHeight="false" outlineLevel="0" collapsed="false">
      <c r="A83" s="6" t="n">
        <v>82</v>
      </c>
      <c r="B83" s="6" t="s">
        <v>606</v>
      </c>
      <c r="C83" s="6" t="s">
        <v>488</v>
      </c>
      <c r="D83" s="6" t="n">
        <v>93.6</v>
      </c>
      <c r="E83" s="6" t="n">
        <v>1</v>
      </c>
      <c r="F83" s="6" t="s">
        <v>40</v>
      </c>
      <c r="G83" s="6" t="s">
        <v>649</v>
      </c>
      <c r="H83" s="6" t="s">
        <v>650</v>
      </c>
      <c r="I83" s="6" t="s">
        <v>651</v>
      </c>
      <c r="J83" s="6" t="s">
        <v>652</v>
      </c>
      <c r="K83" s="6"/>
      <c r="L83" s="6"/>
      <c r="M83" s="6" t="s">
        <v>653</v>
      </c>
      <c r="N83" s="7"/>
      <c r="O83" s="7"/>
      <c r="P83" s="7"/>
      <c r="Q83" s="7"/>
      <c r="R83" s="7"/>
      <c r="S83" s="6" t="s">
        <v>654</v>
      </c>
      <c r="T83" s="6" t="s">
        <v>655</v>
      </c>
      <c r="U83" s="6" t="s">
        <v>656</v>
      </c>
    </row>
    <row r="84" customFormat="false" ht="214.15" hidden="false" customHeight="false" outlineLevel="0" collapsed="false">
      <c r="A84" s="6" t="n">
        <v>83</v>
      </c>
      <c r="B84" s="6" t="s">
        <v>606</v>
      </c>
      <c r="C84" s="6" t="s">
        <v>488</v>
      </c>
      <c r="D84" s="6" t="n">
        <v>92.7</v>
      </c>
      <c r="E84" s="6" t="n">
        <v>1</v>
      </c>
      <c r="F84" s="6" t="s">
        <v>40</v>
      </c>
      <c r="G84" s="6" t="s">
        <v>657</v>
      </c>
      <c r="H84" s="6" t="s">
        <v>658</v>
      </c>
      <c r="I84" s="6" t="s">
        <v>659</v>
      </c>
      <c r="J84" s="6" t="s">
        <v>660</v>
      </c>
      <c r="K84" s="6"/>
      <c r="L84" s="6"/>
      <c r="M84" s="6" t="s">
        <v>661</v>
      </c>
      <c r="N84" s="7"/>
      <c r="O84" s="7"/>
      <c r="P84" s="7"/>
      <c r="Q84" s="7"/>
      <c r="R84" s="7"/>
      <c r="S84" s="6" t="s">
        <v>662</v>
      </c>
      <c r="T84" s="6" t="s">
        <v>663</v>
      </c>
      <c r="U84" s="6" t="s">
        <v>664</v>
      </c>
    </row>
    <row r="85" customFormat="false" ht="236.55" hidden="false" customHeight="false" outlineLevel="0" collapsed="false">
      <c r="A85" s="6" t="n">
        <v>84</v>
      </c>
      <c r="B85" s="6" t="s">
        <v>606</v>
      </c>
      <c r="C85" s="6" t="s">
        <v>488</v>
      </c>
      <c r="D85" s="6" t="n">
        <v>88.3</v>
      </c>
      <c r="E85" s="6" t="n">
        <v>1</v>
      </c>
      <c r="F85" s="6" t="s">
        <v>40</v>
      </c>
      <c r="G85" s="6" t="s">
        <v>665</v>
      </c>
      <c r="H85" s="6" t="s">
        <v>666</v>
      </c>
      <c r="I85" s="6" t="s">
        <v>667</v>
      </c>
      <c r="J85" s="6" t="s">
        <v>668</v>
      </c>
      <c r="K85" s="6"/>
      <c r="L85" s="6"/>
      <c r="M85" s="6" t="s">
        <v>669</v>
      </c>
      <c r="N85" s="7"/>
      <c r="O85" s="7"/>
      <c r="P85" s="7"/>
      <c r="Q85" s="7"/>
      <c r="R85" s="7"/>
      <c r="S85" s="6" t="s">
        <v>670</v>
      </c>
      <c r="T85" s="6" t="s">
        <v>671</v>
      </c>
      <c r="U85" s="6" t="s">
        <v>672</v>
      </c>
    </row>
    <row r="86" customFormat="false" ht="225.35" hidden="false" customHeight="false" outlineLevel="0" collapsed="false">
      <c r="A86" s="6" t="n">
        <v>85</v>
      </c>
      <c r="B86" s="6" t="s">
        <v>606</v>
      </c>
      <c r="C86" s="6" t="s">
        <v>488</v>
      </c>
      <c r="D86" s="6" t="n">
        <v>90.1</v>
      </c>
      <c r="E86" s="6" t="n">
        <v>1</v>
      </c>
      <c r="F86" s="6" t="s">
        <v>40</v>
      </c>
      <c r="G86" s="6" t="s">
        <v>673</v>
      </c>
      <c r="H86" s="6" t="s">
        <v>674</v>
      </c>
      <c r="I86" s="6" t="s">
        <v>675</v>
      </c>
      <c r="J86" s="6" t="s">
        <v>676</v>
      </c>
      <c r="K86" s="6"/>
      <c r="L86" s="6"/>
      <c r="M86" s="6" t="s">
        <v>677</v>
      </c>
      <c r="N86" s="7"/>
      <c r="O86" s="7"/>
      <c r="P86" s="7"/>
      <c r="Q86" s="7"/>
      <c r="R86" s="7"/>
      <c r="S86" s="6" t="s">
        <v>678</v>
      </c>
      <c r="T86" s="6" t="s">
        <v>671</v>
      </c>
      <c r="U86" s="6" t="s">
        <v>672</v>
      </c>
    </row>
    <row r="87" customFormat="false" ht="561.15" hidden="false" customHeight="false" outlineLevel="0" collapsed="false">
      <c r="A87" s="6" t="n">
        <v>86</v>
      </c>
      <c r="B87" s="6" t="s">
        <v>606</v>
      </c>
      <c r="C87" s="6" t="s">
        <v>488</v>
      </c>
      <c r="D87" s="6" t="n">
        <v>85.1</v>
      </c>
      <c r="E87" s="6" t="n">
        <v>1</v>
      </c>
      <c r="F87" s="6" t="s">
        <v>40</v>
      </c>
      <c r="G87" s="6" t="s">
        <v>679</v>
      </c>
      <c r="H87" s="6" t="s">
        <v>680</v>
      </c>
      <c r="I87" s="6" t="s">
        <v>681</v>
      </c>
      <c r="J87" s="6" t="s">
        <v>682</v>
      </c>
      <c r="K87" s="6"/>
      <c r="L87" s="6"/>
      <c r="M87" s="6" t="s">
        <v>683</v>
      </c>
      <c r="N87" s="7"/>
      <c r="O87" s="7"/>
      <c r="P87" s="7"/>
      <c r="Q87" s="7"/>
      <c r="R87" s="7"/>
      <c r="S87" s="6" t="s">
        <v>684</v>
      </c>
      <c r="T87" s="6" t="s">
        <v>685</v>
      </c>
      <c r="U87" s="6" t="s">
        <v>686</v>
      </c>
    </row>
    <row r="88" customFormat="false" ht="650.7" hidden="false" customHeight="false" outlineLevel="0" collapsed="false">
      <c r="A88" s="6" t="n">
        <v>87</v>
      </c>
      <c r="B88" s="6" t="s">
        <v>606</v>
      </c>
      <c r="C88" s="6" t="s">
        <v>488</v>
      </c>
      <c r="D88" s="6" t="n">
        <v>86</v>
      </c>
      <c r="E88" s="6" t="n">
        <v>1</v>
      </c>
      <c r="F88" s="6" t="s">
        <v>40</v>
      </c>
      <c r="G88" s="6" t="s">
        <v>687</v>
      </c>
      <c r="H88" s="6" t="s">
        <v>688</v>
      </c>
      <c r="I88" s="6" t="s">
        <v>689</v>
      </c>
      <c r="J88" s="6" t="s">
        <v>690</v>
      </c>
      <c r="K88" s="6"/>
      <c r="L88" s="6"/>
      <c r="M88" s="6" t="s">
        <v>691</v>
      </c>
      <c r="N88" s="7"/>
      <c r="O88" s="7"/>
      <c r="P88" s="7"/>
      <c r="Q88" s="7"/>
      <c r="R88" s="7"/>
      <c r="S88" s="6" t="s">
        <v>692</v>
      </c>
      <c r="T88" s="6" t="s">
        <v>693</v>
      </c>
      <c r="U88" s="6" t="s">
        <v>694</v>
      </c>
    </row>
    <row r="89" customFormat="false" ht="449.25" hidden="false" customHeight="false" outlineLevel="0" collapsed="false">
      <c r="A89" s="6" t="n">
        <v>88</v>
      </c>
      <c r="B89" s="6" t="s">
        <v>606</v>
      </c>
      <c r="C89" s="6" t="s">
        <v>488</v>
      </c>
      <c r="D89" s="6" t="n">
        <v>86.4</v>
      </c>
      <c r="E89" s="6" t="n">
        <v>1</v>
      </c>
      <c r="F89" s="6" t="s">
        <v>40</v>
      </c>
      <c r="G89" s="6" t="s">
        <v>695</v>
      </c>
      <c r="H89" s="6" t="s">
        <v>696</v>
      </c>
      <c r="I89" s="6" t="s">
        <v>697</v>
      </c>
      <c r="J89" s="6" t="s">
        <v>698</v>
      </c>
      <c r="K89" s="6"/>
      <c r="L89" s="6"/>
      <c r="M89" s="6" t="s">
        <v>699</v>
      </c>
      <c r="N89" s="7"/>
      <c r="O89" s="7"/>
      <c r="P89" s="7"/>
      <c r="Q89" s="7"/>
      <c r="R89" s="7"/>
      <c r="S89" s="6" t="s">
        <v>700</v>
      </c>
      <c r="T89" s="6" t="s">
        <v>348</v>
      </c>
      <c r="U89" s="6" t="s">
        <v>349</v>
      </c>
    </row>
    <row r="90" customFormat="false" ht="236.55" hidden="false" customHeight="false" outlineLevel="0" collapsed="false">
      <c r="A90" s="6" t="n">
        <v>89</v>
      </c>
      <c r="B90" s="6" t="s">
        <v>606</v>
      </c>
      <c r="C90" s="6" t="s">
        <v>488</v>
      </c>
      <c r="D90" s="6" t="n">
        <v>87.7</v>
      </c>
      <c r="E90" s="6" t="n">
        <v>1</v>
      </c>
      <c r="F90" s="6" t="s">
        <v>40</v>
      </c>
      <c r="G90" s="6" t="s">
        <v>701</v>
      </c>
      <c r="H90" s="6" t="s">
        <v>702</v>
      </c>
      <c r="I90" s="6" t="s">
        <v>703</v>
      </c>
      <c r="J90" s="6" t="s">
        <v>704</v>
      </c>
      <c r="K90" s="6"/>
      <c r="L90" s="6"/>
      <c r="M90" s="6" t="s">
        <v>705</v>
      </c>
      <c r="N90" s="7"/>
      <c r="O90" s="7"/>
      <c r="P90" s="7"/>
      <c r="Q90" s="7"/>
      <c r="R90" s="7"/>
      <c r="S90" s="6" t="s">
        <v>706</v>
      </c>
      <c r="T90" s="6" t="s">
        <v>707</v>
      </c>
      <c r="U90" s="6" t="s">
        <v>708</v>
      </c>
    </row>
    <row r="91" customFormat="false" ht="303.7" hidden="false" customHeight="false" outlineLevel="0" collapsed="false">
      <c r="A91" s="6" t="n">
        <v>90</v>
      </c>
      <c r="B91" s="6" t="s">
        <v>606</v>
      </c>
      <c r="C91" s="6" t="s">
        <v>488</v>
      </c>
      <c r="D91" s="6" t="n">
        <v>89.1</v>
      </c>
      <c r="E91" s="6" t="n">
        <v>1</v>
      </c>
      <c r="F91" s="6" t="s">
        <v>40</v>
      </c>
      <c r="G91" s="6" t="s">
        <v>709</v>
      </c>
      <c r="H91" s="6" t="s">
        <v>710</v>
      </c>
      <c r="I91" s="6" t="s">
        <v>711</v>
      </c>
      <c r="J91" s="6" t="s">
        <v>712</v>
      </c>
      <c r="K91" s="6"/>
      <c r="L91" s="6"/>
      <c r="M91" s="6" t="s">
        <v>713</v>
      </c>
      <c r="N91" s="7"/>
      <c r="O91" s="7"/>
      <c r="P91" s="7"/>
      <c r="Q91" s="7"/>
      <c r="R91" s="7"/>
      <c r="S91" s="6" t="s">
        <v>714</v>
      </c>
      <c r="T91" s="6" t="s">
        <v>715</v>
      </c>
      <c r="U91" s="6" t="s">
        <v>716</v>
      </c>
    </row>
    <row r="92" customFormat="false" ht="247.75" hidden="false" customHeight="false" outlineLevel="0" collapsed="false">
      <c r="A92" s="6" t="n">
        <v>91</v>
      </c>
      <c r="B92" s="6" t="s">
        <v>606</v>
      </c>
      <c r="C92" s="6" t="s">
        <v>488</v>
      </c>
      <c r="D92" s="6" t="n">
        <v>87.1</v>
      </c>
      <c r="E92" s="6" t="n">
        <v>1</v>
      </c>
      <c r="F92" s="6" t="s">
        <v>40</v>
      </c>
      <c r="G92" s="6" t="s">
        <v>717</v>
      </c>
      <c r="H92" s="6" t="s">
        <v>718</v>
      </c>
      <c r="I92" s="6" t="s">
        <v>719</v>
      </c>
      <c r="J92" s="6" t="s">
        <v>720</v>
      </c>
      <c r="K92" s="6"/>
      <c r="L92" s="6"/>
      <c r="M92" s="6" t="s">
        <v>721</v>
      </c>
      <c r="N92" s="7"/>
      <c r="O92" s="7"/>
      <c r="P92" s="7"/>
      <c r="Q92" s="7"/>
      <c r="R92" s="7"/>
      <c r="S92" s="6" t="s">
        <v>722</v>
      </c>
      <c r="T92" s="6" t="s">
        <v>723</v>
      </c>
      <c r="U92" s="6" t="s">
        <v>724</v>
      </c>
    </row>
    <row r="93" customFormat="false" ht="348.5" hidden="false" customHeight="false" outlineLevel="0" collapsed="false">
      <c r="A93" s="6" t="n">
        <v>92</v>
      </c>
      <c r="B93" s="6" t="s">
        <v>606</v>
      </c>
      <c r="C93" s="6" t="s">
        <v>488</v>
      </c>
      <c r="D93" s="6" t="n">
        <v>85.2</v>
      </c>
      <c r="E93" s="6" t="n">
        <v>1</v>
      </c>
      <c r="F93" s="6" t="s">
        <v>40</v>
      </c>
      <c r="G93" s="6" t="s">
        <v>725</v>
      </c>
      <c r="H93" s="6" t="s">
        <v>726</v>
      </c>
      <c r="I93" s="6" t="s">
        <v>727</v>
      </c>
      <c r="J93" s="6" t="s">
        <v>728</v>
      </c>
      <c r="K93" s="6"/>
      <c r="L93" s="6"/>
      <c r="M93" s="6" t="s">
        <v>729</v>
      </c>
      <c r="N93" s="7"/>
      <c r="O93" s="7"/>
      <c r="P93" s="7"/>
      <c r="Q93" s="7"/>
      <c r="R93" s="7"/>
      <c r="S93" s="6" t="s">
        <v>730</v>
      </c>
      <c r="T93" s="6" t="s">
        <v>731</v>
      </c>
      <c r="U93" s="6" t="s">
        <v>732</v>
      </c>
    </row>
    <row r="94" customFormat="false" ht="270.1" hidden="false" customHeight="false" outlineLevel="0" collapsed="false">
      <c r="A94" s="6" t="n">
        <v>93</v>
      </c>
      <c r="B94" s="6" t="s">
        <v>606</v>
      </c>
      <c r="C94" s="6" t="s">
        <v>488</v>
      </c>
      <c r="D94" s="6" t="n">
        <v>86.8</v>
      </c>
      <c r="E94" s="6" t="n">
        <v>1</v>
      </c>
      <c r="F94" s="6" t="s">
        <v>567</v>
      </c>
      <c r="G94" s="6" t="s">
        <v>733</v>
      </c>
      <c r="H94" s="6"/>
      <c r="I94" s="6" t="s">
        <v>734</v>
      </c>
      <c r="J94" s="6"/>
      <c r="K94" s="6" t="s">
        <v>570</v>
      </c>
      <c r="L94" s="6" t="s">
        <v>570</v>
      </c>
      <c r="M94" s="6" t="s">
        <v>735</v>
      </c>
      <c r="N94" s="7"/>
      <c r="O94" s="7"/>
      <c r="P94" s="7"/>
      <c r="Q94" s="7"/>
      <c r="R94" s="7"/>
      <c r="S94" s="6" t="s">
        <v>736</v>
      </c>
      <c r="T94" s="6" t="s">
        <v>634</v>
      </c>
      <c r="U94" s="6" t="s">
        <v>635</v>
      </c>
    </row>
    <row r="95" customFormat="false" ht="482.8" hidden="false" customHeight="false" outlineLevel="0" collapsed="false">
      <c r="A95" s="6" t="n">
        <v>94</v>
      </c>
      <c r="B95" s="6" t="s">
        <v>606</v>
      </c>
      <c r="C95" s="6" t="s">
        <v>488</v>
      </c>
      <c r="D95" s="6" t="n">
        <v>86.3</v>
      </c>
      <c r="E95" s="6" t="n">
        <v>1</v>
      </c>
      <c r="F95" s="6" t="s">
        <v>40</v>
      </c>
      <c r="G95" s="6" t="s">
        <v>737</v>
      </c>
      <c r="H95" s="6" t="s">
        <v>738</v>
      </c>
      <c r="I95" s="6" t="s">
        <v>739</v>
      </c>
      <c r="J95" s="6" t="s">
        <v>740</v>
      </c>
      <c r="K95" s="6"/>
      <c r="L95" s="6"/>
      <c r="M95" s="6" t="s">
        <v>741</v>
      </c>
      <c r="N95" s="7"/>
      <c r="O95" s="7"/>
      <c r="P95" s="7"/>
      <c r="Q95" s="7"/>
      <c r="R95" s="7"/>
      <c r="S95" s="6" t="s">
        <v>742</v>
      </c>
      <c r="T95" s="6" t="s">
        <v>743</v>
      </c>
      <c r="U95" s="6" t="s">
        <v>744</v>
      </c>
    </row>
    <row r="96" customFormat="false" ht="415.65" hidden="false" customHeight="false" outlineLevel="0" collapsed="false">
      <c r="A96" s="6" t="n">
        <v>95</v>
      </c>
      <c r="B96" s="6" t="s">
        <v>606</v>
      </c>
      <c r="C96" s="6" t="s">
        <v>488</v>
      </c>
      <c r="D96" s="6" t="n">
        <v>86.5</v>
      </c>
      <c r="E96" s="6" t="n">
        <v>1</v>
      </c>
      <c r="F96" s="6" t="s">
        <v>40</v>
      </c>
      <c r="G96" s="6" t="s">
        <v>745</v>
      </c>
      <c r="H96" s="6" t="s">
        <v>746</v>
      </c>
      <c r="I96" s="6" t="s">
        <v>747</v>
      </c>
      <c r="J96" s="6" t="s">
        <v>748</v>
      </c>
      <c r="K96" s="6"/>
      <c r="L96" s="6"/>
      <c r="M96" s="6" t="s">
        <v>749</v>
      </c>
      <c r="N96" s="7"/>
      <c r="O96" s="7"/>
      <c r="P96" s="7"/>
      <c r="Q96" s="7"/>
      <c r="R96" s="7"/>
      <c r="S96" s="6" t="s">
        <v>750</v>
      </c>
      <c r="T96" s="6" t="s">
        <v>751</v>
      </c>
      <c r="U96" s="6" t="s">
        <v>752</v>
      </c>
    </row>
    <row r="97" customFormat="false" ht="225.35" hidden="false" customHeight="false" outlineLevel="0" collapsed="false">
      <c r="A97" s="6" t="n">
        <v>96</v>
      </c>
      <c r="B97" s="6" t="s">
        <v>753</v>
      </c>
      <c r="C97" s="6" t="s">
        <v>22</v>
      </c>
      <c r="D97" s="6" t="n">
        <v>100</v>
      </c>
      <c r="E97" s="6" t="n">
        <v>1</v>
      </c>
      <c r="F97" s="6" t="s">
        <v>40</v>
      </c>
      <c r="G97" s="6" t="s">
        <v>754</v>
      </c>
      <c r="H97" s="6"/>
      <c r="I97" s="6" t="s">
        <v>755</v>
      </c>
      <c r="J97" s="6" t="s">
        <v>756</v>
      </c>
      <c r="K97" s="6" t="s">
        <v>50</v>
      </c>
      <c r="L97" s="6"/>
      <c r="M97" s="6" t="s">
        <v>757</v>
      </c>
      <c r="N97" s="7"/>
      <c r="O97" s="7"/>
      <c r="P97" s="7"/>
      <c r="Q97" s="7"/>
      <c r="R97" s="7"/>
      <c r="S97" s="6" t="s">
        <v>758</v>
      </c>
      <c r="T97" s="6" t="s">
        <v>759</v>
      </c>
      <c r="U97" s="6" t="s">
        <v>760</v>
      </c>
    </row>
    <row r="98" customFormat="false" ht="303.7" hidden="false" customHeight="false" outlineLevel="0" collapsed="false">
      <c r="A98" s="6" t="n">
        <v>97</v>
      </c>
      <c r="B98" s="6" t="s">
        <v>753</v>
      </c>
      <c r="C98" s="6" t="s">
        <v>22</v>
      </c>
      <c r="D98" s="6" t="n">
        <v>100</v>
      </c>
      <c r="E98" s="6" t="n">
        <v>1</v>
      </c>
      <c r="F98" s="6" t="s">
        <v>40</v>
      </c>
      <c r="G98" s="6" t="s">
        <v>761</v>
      </c>
      <c r="H98" s="6" t="s">
        <v>762</v>
      </c>
      <c r="I98" s="6" t="s">
        <v>763</v>
      </c>
      <c r="J98" s="6"/>
      <c r="K98" s="6"/>
      <c r="L98" s="6" t="s">
        <v>50</v>
      </c>
      <c r="M98" s="6" t="s">
        <v>764</v>
      </c>
      <c r="N98" s="7"/>
      <c r="O98" s="7"/>
      <c r="P98" s="7"/>
      <c r="Q98" s="7"/>
      <c r="R98" s="7"/>
      <c r="S98" s="6" t="s">
        <v>765</v>
      </c>
      <c r="T98" s="6" t="s">
        <v>766</v>
      </c>
      <c r="U98" s="6" t="s">
        <v>767</v>
      </c>
    </row>
    <row r="99" customFormat="false" ht="236.55" hidden="false" customHeight="false" outlineLevel="0" collapsed="false">
      <c r="A99" s="6" t="n">
        <v>98</v>
      </c>
      <c r="B99" s="6" t="s">
        <v>753</v>
      </c>
      <c r="C99" s="6" t="s">
        <v>22</v>
      </c>
      <c r="D99" s="6" t="n">
        <v>100</v>
      </c>
      <c r="E99" s="6" t="n">
        <v>1</v>
      </c>
      <c r="F99" s="6" t="s">
        <v>40</v>
      </c>
      <c r="G99" s="6" t="s">
        <v>768</v>
      </c>
      <c r="H99" s="6" t="s">
        <v>769</v>
      </c>
      <c r="I99" s="6" t="s">
        <v>770</v>
      </c>
      <c r="J99" s="6"/>
      <c r="K99" s="6"/>
      <c r="L99" s="6" t="s">
        <v>50</v>
      </c>
      <c r="M99" s="6" t="s">
        <v>771</v>
      </c>
      <c r="N99" s="7"/>
      <c r="O99" s="7"/>
      <c r="P99" s="7"/>
      <c r="Q99" s="7"/>
      <c r="R99" s="7"/>
      <c r="S99" s="6" t="s">
        <v>772</v>
      </c>
      <c r="T99" s="6" t="s">
        <v>773</v>
      </c>
      <c r="U99" s="6" t="s">
        <v>774</v>
      </c>
    </row>
    <row r="100" customFormat="false" ht="281.3" hidden="false" customHeight="false" outlineLevel="0" collapsed="false">
      <c r="A100" s="6" t="n">
        <v>99</v>
      </c>
      <c r="B100" s="6" t="s">
        <v>753</v>
      </c>
      <c r="C100" s="6" t="s">
        <v>22</v>
      </c>
      <c r="D100" s="6" t="n">
        <v>100</v>
      </c>
      <c r="E100" s="6" t="n">
        <v>1</v>
      </c>
      <c r="F100" s="6" t="s">
        <v>40</v>
      </c>
      <c r="G100" s="6" t="s">
        <v>775</v>
      </c>
      <c r="H100" s="6" t="s">
        <v>776</v>
      </c>
      <c r="I100" s="6" t="s">
        <v>775</v>
      </c>
      <c r="J100" s="6"/>
      <c r="K100" s="6"/>
      <c r="L100" s="6" t="s">
        <v>50</v>
      </c>
      <c r="M100" s="6" t="s">
        <v>777</v>
      </c>
      <c r="N100" s="7"/>
      <c r="O100" s="7"/>
      <c r="P100" s="7"/>
      <c r="Q100" s="7"/>
      <c r="R100" s="7"/>
      <c r="S100" s="6" t="s">
        <v>778</v>
      </c>
      <c r="T100" s="6" t="s">
        <v>779</v>
      </c>
      <c r="U100" s="6" t="s">
        <v>780</v>
      </c>
    </row>
    <row r="101" customFormat="false" ht="314.9" hidden="false" customHeight="false" outlineLevel="0" collapsed="false">
      <c r="A101" s="6" t="n">
        <v>100</v>
      </c>
      <c r="B101" s="6" t="s">
        <v>753</v>
      </c>
      <c r="C101" s="6" t="s">
        <v>374</v>
      </c>
      <c r="D101" s="6" t="n">
        <v>100</v>
      </c>
      <c r="E101" s="6" t="n">
        <v>1</v>
      </c>
      <c r="F101" s="6" t="s">
        <v>40</v>
      </c>
      <c r="G101" s="6" t="s">
        <v>781</v>
      </c>
      <c r="H101" s="6" t="s">
        <v>782</v>
      </c>
      <c r="I101" s="6" t="s">
        <v>783</v>
      </c>
      <c r="J101" s="6"/>
      <c r="K101" s="6"/>
      <c r="L101" s="6" t="s">
        <v>50</v>
      </c>
      <c r="M101" s="6" t="s">
        <v>784</v>
      </c>
      <c r="N101" s="7"/>
      <c r="O101" s="7"/>
      <c r="P101" s="7"/>
      <c r="Q101" s="7"/>
      <c r="R101" s="7"/>
      <c r="S101" s="6" t="s">
        <v>785</v>
      </c>
      <c r="T101" s="6" t="s">
        <v>786</v>
      </c>
      <c r="U101" s="6" t="s">
        <v>787</v>
      </c>
    </row>
    <row r="102" customFormat="false" ht="382.05" hidden="false" customHeight="false" outlineLevel="0" collapsed="false">
      <c r="A102" s="6" t="n">
        <v>101</v>
      </c>
      <c r="B102" s="6" t="s">
        <v>753</v>
      </c>
      <c r="C102" s="6" t="s">
        <v>22</v>
      </c>
      <c r="D102" s="6" t="n">
        <v>100</v>
      </c>
      <c r="E102" s="6" t="n">
        <v>1</v>
      </c>
      <c r="F102" s="6" t="s">
        <v>40</v>
      </c>
      <c r="G102" s="6" t="s">
        <v>788</v>
      </c>
      <c r="H102" s="6" t="s">
        <v>789</v>
      </c>
      <c r="I102" s="6" t="s">
        <v>790</v>
      </c>
      <c r="J102" s="6"/>
      <c r="K102" s="6"/>
      <c r="L102" s="6" t="s">
        <v>50</v>
      </c>
      <c r="M102" s="6" t="s">
        <v>791</v>
      </c>
      <c r="N102" s="7"/>
      <c r="O102" s="7"/>
      <c r="P102" s="7"/>
      <c r="Q102" s="7"/>
      <c r="R102" s="7"/>
      <c r="S102" s="6" t="s">
        <v>792</v>
      </c>
      <c r="T102" s="6" t="s">
        <v>793</v>
      </c>
      <c r="U102" s="6" t="s">
        <v>794</v>
      </c>
    </row>
    <row r="103" customFormat="false" ht="326.1" hidden="false" customHeight="false" outlineLevel="0" collapsed="false">
      <c r="A103" s="6" t="n">
        <v>102</v>
      </c>
      <c r="B103" s="6" t="s">
        <v>753</v>
      </c>
      <c r="C103" s="6" t="s">
        <v>22</v>
      </c>
      <c r="D103" s="6" t="n">
        <v>100</v>
      </c>
      <c r="E103" s="6" t="n">
        <v>1</v>
      </c>
      <c r="F103" s="6" t="s">
        <v>40</v>
      </c>
      <c r="G103" s="6" t="s">
        <v>795</v>
      </c>
      <c r="H103" s="6"/>
      <c r="I103" s="6" t="s">
        <v>796</v>
      </c>
      <c r="J103" s="6" t="s">
        <v>797</v>
      </c>
      <c r="K103" s="6" t="s">
        <v>50</v>
      </c>
      <c r="L103" s="6"/>
      <c r="M103" s="6" t="s">
        <v>798</v>
      </c>
      <c r="N103" s="7"/>
      <c r="O103" s="7"/>
      <c r="P103" s="7"/>
      <c r="Q103" s="7"/>
      <c r="R103" s="7"/>
      <c r="S103" s="6" t="s">
        <v>799</v>
      </c>
      <c r="T103" s="6" t="s">
        <v>800</v>
      </c>
      <c r="U103" s="6" t="s">
        <v>801</v>
      </c>
    </row>
    <row r="104" customFormat="false" ht="270.1" hidden="false" customHeight="false" outlineLevel="0" collapsed="false">
      <c r="A104" s="6" t="n">
        <v>103</v>
      </c>
      <c r="B104" s="6" t="s">
        <v>753</v>
      </c>
      <c r="C104" s="6" t="s">
        <v>22</v>
      </c>
      <c r="D104" s="6" t="n">
        <v>100</v>
      </c>
      <c r="E104" s="6" t="n">
        <v>1</v>
      </c>
      <c r="F104" s="6" t="s">
        <v>40</v>
      </c>
      <c r="G104" s="6" t="s">
        <v>802</v>
      </c>
      <c r="H104" s="6"/>
      <c r="I104" s="6" t="s">
        <v>802</v>
      </c>
      <c r="J104" s="6" t="s">
        <v>803</v>
      </c>
      <c r="K104" s="6" t="s">
        <v>50</v>
      </c>
      <c r="L104" s="6"/>
      <c r="M104" s="6" t="s">
        <v>804</v>
      </c>
      <c r="N104" s="7"/>
      <c r="O104" s="7"/>
      <c r="P104" s="7"/>
      <c r="Q104" s="7"/>
      <c r="R104" s="7"/>
      <c r="S104" s="6" t="s">
        <v>805</v>
      </c>
      <c r="T104" s="6" t="s">
        <v>806</v>
      </c>
      <c r="U104" s="6" t="s">
        <v>807</v>
      </c>
    </row>
    <row r="105" customFormat="false" ht="404.45" hidden="false" customHeight="false" outlineLevel="0" collapsed="false">
      <c r="A105" s="6" t="n">
        <v>104</v>
      </c>
      <c r="B105" s="6" t="s">
        <v>753</v>
      </c>
      <c r="C105" s="6" t="s">
        <v>22</v>
      </c>
      <c r="D105" s="6" t="n">
        <v>100</v>
      </c>
      <c r="E105" s="6" t="n">
        <v>1</v>
      </c>
      <c r="F105" s="6" t="s">
        <v>40</v>
      </c>
      <c r="G105" s="6" t="s">
        <v>808</v>
      </c>
      <c r="H105" s="6" t="s">
        <v>809</v>
      </c>
      <c r="I105" s="6" t="s">
        <v>810</v>
      </c>
      <c r="J105" s="6"/>
      <c r="K105" s="6"/>
      <c r="L105" s="6" t="s">
        <v>50</v>
      </c>
      <c r="M105" s="6" t="s">
        <v>811</v>
      </c>
      <c r="N105" s="7"/>
      <c r="O105" s="7"/>
      <c r="P105" s="7"/>
      <c r="Q105" s="7"/>
      <c r="R105" s="7"/>
      <c r="S105" s="6" t="s">
        <v>812</v>
      </c>
      <c r="T105" s="6" t="s">
        <v>813</v>
      </c>
      <c r="U105" s="6" t="s">
        <v>814</v>
      </c>
    </row>
    <row r="106" customFormat="false" ht="270.1" hidden="false" customHeight="false" outlineLevel="0" collapsed="false">
      <c r="A106" s="6" t="n">
        <v>105</v>
      </c>
      <c r="B106" s="6" t="s">
        <v>753</v>
      </c>
      <c r="C106" s="6" t="s">
        <v>22</v>
      </c>
      <c r="D106" s="6" t="n">
        <v>100</v>
      </c>
      <c r="E106" s="6" t="n">
        <v>1</v>
      </c>
      <c r="F106" s="6" t="s">
        <v>40</v>
      </c>
      <c r="G106" s="6" t="s">
        <v>815</v>
      </c>
      <c r="H106" s="6"/>
      <c r="I106" s="6" t="s">
        <v>815</v>
      </c>
      <c r="J106" s="6" t="s">
        <v>816</v>
      </c>
      <c r="K106" s="6" t="s">
        <v>50</v>
      </c>
      <c r="L106" s="6"/>
      <c r="M106" s="6" t="s">
        <v>817</v>
      </c>
      <c r="N106" s="7"/>
      <c r="O106" s="7"/>
      <c r="P106" s="7"/>
      <c r="Q106" s="7"/>
      <c r="R106" s="7"/>
      <c r="S106" s="6" t="s">
        <v>818</v>
      </c>
      <c r="T106" s="6" t="s">
        <v>819</v>
      </c>
      <c r="U106" s="6" t="s">
        <v>820</v>
      </c>
    </row>
    <row r="107" customFormat="false" ht="404.45" hidden="false" customHeight="false" outlineLevel="0" collapsed="false">
      <c r="A107" s="6" t="n">
        <v>106</v>
      </c>
      <c r="B107" s="6" t="s">
        <v>753</v>
      </c>
      <c r="C107" s="6" t="s">
        <v>22</v>
      </c>
      <c r="D107" s="6" t="n">
        <v>100</v>
      </c>
      <c r="E107" s="6" t="n">
        <v>1</v>
      </c>
      <c r="F107" s="6" t="s">
        <v>40</v>
      </c>
      <c r="G107" s="6" t="s">
        <v>821</v>
      </c>
      <c r="H107" s="6"/>
      <c r="I107" s="6" t="s">
        <v>822</v>
      </c>
      <c r="J107" s="6"/>
      <c r="K107" s="6" t="s">
        <v>50</v>
      </c>
      <c r="L107" s="6" t="s">
        <v>50</v>
      </c>
      <c r="M107" s="6" t="s">
        <v>823</v>
      </c>
      <c r="N107" s="7"/>
      <c r="O107" s="7"/>
      <c r="P107" s="7"/>
      <c r="Q107" s="7"/>
      <c r="R107" s="7"/>
      <c r="S107" s="6" t="s">
        <v>824</v>
      </c>
      <c r="T107" s="6" t="s">
        <v>825</v>
      </c>
      <c r="U107" s="6" t="s">
        <v>826</v>
      </c>
    </row>
    <row r="108" customFormat="false" ht="258.95" hidden="false" customHeight="false" outlineLevel="0" collapsed="false">
      <c r="A108" s="6" t="n">
        <v>107</v>
      </c>
      <c r="B108" s="6" t="s">
        <v>753</v>
      </c>
      <c r="C108" s="6" t="s">
        <v>22</v>
      </c>
      <c r="D108" s="6" t="n">
        <v>100</v>
      </c>
      <c r="E108" s="6" t="n">
        <v>1</v>
      </c>
      <c r="F108" s="6" t="s">
        <v>40</v>
      </c>
      <c r="G108" s="6" t="s">
        <v>827</v>
      </c>
      <c r="H108" s="6" t="s">
        <v>828</v>
      </c>
      <c r="I108" s="6" t="s">
        <v>827</v>
      </c>
      <c r="J108" s="6"/>
      <c r="K108" s="6"/>
      <c r="L108" s="6" t="s">
        <v>50</v>
      </c>
      <c r="M108" s="6" t="s">
        <v>829</v>
      </c>
      <c r="N108" s="7"/>
      <c r="O108" s="7"/>
      <c r="P108" s="7"/>
      <c r="Q108" s="7"/>
      <c r="R108" s="7"/>
      <c r="S108" s="6" t="s">
        <v>830</v>
      </c>
      <c r="T108" s="6" t="s">
        <v>831</v>
      </c>
      <c r="U108" s="6" t="s">
        <v>832</v>
      </c>
    </row>
    <row r="109" customFormat="false" ht="314.9" hidden="false" customHeight="false" outlineLevel="0" collapsed="false">
      <c r="A109" s="6" t="n">
        <v>108</v>
      </c>
      <c r="B109" s="6" t="s">
        <v>753</v>
      </c>
      <c r="C109" s="6" t="s">
        <v>22</v>
      </c>
      <c r="D109" s="6" t="n">
        <v>100</v>
      </c>
      <c r="E109" s="6" t="n">
        <v>1</v>
      </c>
      <c r="F109" s="6" t="s">
        <v>40</v>
      </c>
      <c r="G109" s="6" t="s">
        <v>833</v>
      </c>
      <c r="H109" s="6"/>
      <c r="I109" s="6" t="s">
        <v>834</v>
      </c>
      <c r="J109" s="6" t="s">
        <v>835</v>
      </c>
      <c r="K109" s="6" t="s">
        <v>50</v>
      </c>
      <c r="L109" s="6"/>
      <c r="M109" s="6" t="s">
        <v>836</v>
      </c>
      <c r="N109" s="7"/>
      <c r="O109" s="7"/>
      <c r="P109" s="7"/>
      <c r="Q109" s="7"/>
      <c r="R109" s="7"/>
      <c r="S109" s="6" t="s">
        <v>837</v>
      </c>
      <c r="T109" s="6" t="s">
        <v>838</v>
      </c>
      <c r="U109" s="6" t="s">
        <v>839</v>
      </c>
    </row>
    <row r="110" customFormat="false" ht="314.9" hidden="false" customHeight="false" outlineLevel="0" collapsed="false">
      <c r="A110" s="6" t="n">
        <v>109</v>
      </c>
      <c r="B110" s="6" t="s">
        <v>753</v>
      </c>
      <c r="C110" s="6" t="s">
        <v>22</v>
      </c>
      <c r="D110" s="6" t="n">
        <v>100</v>
      </c>
      <c r="E110" s="6" t="n">
        <v>1</v>
      </c>
      <c r="F110" s="6" t="s">
        <v>40</v>
      </c>
      <c r="G110" s="6" t="s">
        <v>840</v>
      </c>
      <c r="H110" s="6"/>
      <c r="I110" s="6" t="s">
        <v>840</v>
      </c>
      <c r="J110" s="6" t="s">
        <v>841</v>
      </c>
      <c r="K110" s="6" t="s">
        <v>50</v>
      </c>
      <c r="L110" s="6"/>
      <c r="M110" s="6" t="s">
        <v>842</v>
      </c>
      <c r="N110" s="7"/>
      <c r="O110" s="7"/>
      <c r="P110" s="7"/>
      <c r="Q110" s="7"/>
      <c r="R110" s="7"/>
      <c r="S110" s="6" t="s">
        <v>843</v>
      </c>
      <c r="T110" s="6" t="s">
        <v>844</v>
      </c>
      <c r="U110" s="6" t="s">
        <v>845</v>
      </c>
    </row>
    <row r="111" customFormat="false" ht="247.75" hidden="false" customHeight="false" outlineLevel="0" collapsed="false">
      <c r="A111" s="6" t="n">
        <v>110</v>
      </c>
      <c r="B111" s="6" t="s">
        <v>753</v>
      </c>
      <c r="C111" s="6" t="s">
        <v>22</v>
      </c>
      <c r="D111" s="6" t="n">
        <v>100</v>
      </c>
      <c r="E111" s="6" t="n">
        <v>1</v>
      </c>
      <c r="F111" s="6" t="s">
        <v>40</v>
      </c>
      <c r="G111" s="6" t="s">
        <v>846</v>
      </c>
      <c r="H111" s="6" t="s">
        <v>847</v>
      </c>
      <c r="I111" s="6" t="s">
        <v>848</v>
      </c>
      <c r="J111" s="6"/>
      <c r="K111" s="6"/>
      <c r="L111" s="6" t="s">
        <v>50</v>
      </c>
      <c r="M111" s="6" t="s">
        <v>849</v>
      </c>
      <c r="N111" s="7"/>
      <c r="O111" s="7"/>
      <c r="P111" s="7"/>
      <c r="Q111" s="7"/>
      <c r="R111" s="7"/>
      <c r="S111" s="6" t="s">
        <v>850</v>
      </c>
      <c r="T111" s="6" t="s">
        <v>851</v>
      </c>
      <c r="U111" s="6" t="s">
        <v>852</v>
      </c>
    </row>
    <row r="112" customFormat="false" ht="415.65" hidden="false" customHeight="false" outlineLevel="0" collapsed="false">
      <c r="A112" s="6" t="n">
        <v>111</v>
      </c>
      <c r="B112" s="6" t="s">
        <v>853</v>
      </c>
      <c r="C112" s="6" t="s">
        <v>22</v>
      </c>
      <c r="D112" s="6" t="n">
        <v>100</v>
      </c>
      <c r="E112" s="6" t="n">
        <v>2</v>
      </c>
      <c r="F112" s="6" t="s">
        <v>40</v>
      </c>
      <c r="G112" s="6" t="s">
        <v>854</v>
      </c>
      <c r="H112" s="6" t="s">
        <v>855</v>
      </c>
      <c r="I112" s="6" t="s">
        <v>856</v>
      </c>
      <c r="J112" s="6"/>
      <c r="K112" s="6"/>
      <c r="L112" s="6" t="s">
        <v>50</v>
      </c>
      <c r="M112" s="6" t="s">
        <v>857</v>
      </c>
      <c r="N112" s="7"/>
      <c r="O112" s="7"/>
      <c r="P112" s="7"/>
      <c r="Q112" s="7"/>
      <c r="R112" s="7"/>
      <c r="S112" s="6" t="s">
        <v>858</v>
      </c>
      <c r="T112" s="6" t="s">
        <v>859</v>
      </c>
      <c r="U112" s="6" t="s">
        <v>860</v>
      </c>
    </row>
    <row r="113" customFormat="false" ht="236.55" hidden="false" customHeight="false" outlineLevel="0" collapsed="false">
      <c r="A113" s="6" t="n">
        <v>112</v>
      </c>
      <c r="B113" s="6" t="s">
        <v>853</v>
      </c>
      <c r="C113" s="6" t="s">
        <v>22</v>
      </c>
      <c r="D113" s="6" t="n">
        <v>100</v>
      </c>
      <c r="E113" s="6" t="n">
        <v>2</v>
      </c>
      <c r="F113" s="6" t="s">
        <v>40</v>
      </c>
      <c r="G113" s="6" t="s">
        <v>861</v>
      </c>
      <c r="H113" s="6" t="s">
        <v>862</v>
      </c>
      <c r="I113" s="6" t="s">
        <v>863</v>
      </c>
      <c r="J113" s="6" t="s">
        <v>864</v>
      </c>
      <c r="K113" s="6"/>
      <c r="L113" s="6"/>
      <c r="M113" s="6" t="s">
        <v>865</v>
      </c>
      <c r="N113" s="7"/>
      <c r="O113" s="7"/>
      <c r="P113" s="7"/>
      <c r="Q113" s="7"/>
      <c r="R113" s="7"/>
      <c r="S113" s="6" t="s">
        <v>866</v>
      </c>
      <c r="T113" s="6" t="s">
        <v>867</v>
      </c>
      <c r="U113" s="6" t="s">
        <v>868</v>
      </c>
    </row>
    <row r="114" customFormat="false" ht="326.1" hidden="false" customHeight="false" outlineLevel="0" collapsed="false">
      <c r="A114" s="6" t="n">
        <v>113</v>
      </c>
      <c r="B114" s="6" t="s">
        <v>853</v>
      </c>
      <c r="C114" s="6" t="s">
        <v>22</v>
      </c>
      <c r="D114" s="6" t="n">
        <v>100</v>
      </c>
      <c r="E114" s="6" t="n">
        <v>2</v>
      </c>
      <c r="F114" s="6" t="s">
        <v>40</v>
      </c>
      <c r="G114" s="6" t="s">
        <v>869</v>
      </c>
      <c r="H114" s="6" t="s">
        <v>870</v>
      </c>
      <c r="I114" s="6" t="s">
        <v>871</v>
      </c>
      <c r="J114" s="6" t="s">
        <v>872</v>
      </c>
      <c r="K114" s="6"/>
      <c r="L114" s="6"/>
      <c r="M114" s="6" t="s">
        <v>873</v>
      </c>
      <c r="N114" s="7"/>
      <c r="O114" s="7"/>
      <c r="P114" s="7"/>
      <c r="Q114" s="7"/>
      <c r="R114" s="7"/>
      <c r="S114" s="6" t="s">
        <v>874</v>
      </c>
      <c r="T114" s="6" t="s">
        <v>875</v>
      </c>
      <c r="U114" s="6" t="s">
        <v>876</v>
      </c>
    </row>
    <row r="115" customFormat="false" ht="348.5" hidden="false" customHeight="false" outlineLevel="0" collapsed="false">
      <c r="A115" s="6" t="n">
        <v>114</v>
      </c>
      <c r="B115" s="6" t="s">
        <v>853</v>
      </c>
      <c r="C115" s="6" t="s">
        <v>22</v>
      </c>
      <c r="D115" s="6" t="n">
        <v>100</v>
      </c>
      <c r="E115" s="6" t="n">
        <v>2</v>
      </c>
      <c r="F115" s="6" t="s">
        <v>40</v>
      </c>
      <c r="G115" s="6" t="s">
        <v>877</v>
      </c>
      <c r="H115" s="6" t="s">
        <v>878</v>
      </c>
      <c r="I115" s="6" t="s">
        <v>879</v>
      </c>
      <c r="J115" s="6" t="s">
        <v>880</v>
      </c>
      <c r="K115" s="6"/>
      <c r="L115" s="6"/>
      <c r="M115" s="6" t="s">
        <v>881</v>
      </c>
      <c r="N115" s="7"/>
      <c r="O115" s="7"/>
      <c r="P115" s="7"/>
      <c r="Q115" s="7"/>
      <c r="R115" s="7"/>
      <c r="S115" s="6" t="s">
        <v>882</v>
      </c>
      <c r="T115" s="6" t="s">
        <v>883</v>
      </c>
      <c r="U115" s="6" t="s">
        <v>884</v>
      </c>
    </row>
    <row r="116" customFormat="false" ht="270.1" hidden="false" customHeight="false" outlineLevel="0" collapsed="false">
      <c r="A116" s="6" t="n">
        <v>115</v>
      </c>
      <c r="B116" s="6" t="s">
        <v>853</v>
      </c>
      <c r="C116" s="6" t="s">
        <v>22</v>
      </c>
      <c r="D116" s="6" t="n">
        <v>100</v>
      </c>
      <c r="E116" s="6" t="n">
        <v>2</v>
      </c>
      <c r="F116" s="6" t="s">
        <v>40</v>
      </c>
      <c r="G116" s="6" t="s">
        <v>885</v>
      </c>
      <c r="H116" s="6" t="s">
        <v>886</v>
      </c>
      <c r="I116" s="6" t="s">
        <v>885</v>
      </c>
      <c r="J116" s="6" t="s">
        <v>887</v>
      </c>
      <c r="K116" s="6"/>
      <c r="L116" s="6"/>
      <c r="M116" s="6" t="s">
        <v>888</v>
      </c>
      <c r="N116" s="7"/>
      <c r="O116" s="7"/>
      <c r="P116" s="7"/>
      <c r="Q116" s="7"/>
      <c r="R116" s="7"/>
      <c r="S116" s="6" t="s">
        <v>889</v>
      </c>
      <c r="T116" s="6" t="s">
        <v>890</v>
      </c>
      <c r="U116" s="6" t="s">
        <v>891</v>
      </c>
    </row>
    <row r="117" customFormat="false" ht="673.1" hidden="false" customHeight="false" outlineLevel="0" collapsed="false">
      <c r="A117" s="6" t="n">
        <v>116</v>
      </c>
      <c r="B117" s="6" t="s">
        <v>853</v>
      </c>
      <c r="C117" s="6" t="s">
        <v>22</v>
      </c>
      <c r="D117" s="6" t="n">
        <v>100</v>
      </c>
      <c r="E117" s="6" t="n">
        <v>2</v>
      </c>
      <c r="F117" s="6" t="s">
        <v>40</v>
      </c>
      <c r="G117" s="6" t="s">
        <v>892</v>
      </c>
      <c r="H117" s="6" t="s">
        <v>893</v>
      </c>
      <c r="I117" s="6" t="s">
        <v>892</v>
      </c>
      <c r="J117" s="6" t="s">
        <v>894</v>
      </c>
      <c r="K117" s="6"/>
      <c r="L117" s="6"/>
      <c r="M117" s="6" t="s">
        <v>895</v>
      </c>
      <c r="N117" s="7"/>
      <c r="O117" s="7"/>
      <c r="P117" s="7"/>
      <c r="Q117" s="7"/>
      <c r="R117" s="7"/>
      <c r="S117" s="6" t="s">
        <v>896</v>
      </c>
      <c r="T117" s="6" t="s">
        <v>859</v>
      </c>
      <c r="U117" s="6" t="s">
        <v>860</v>
      </c>
    </row>
    <row r="118" customFormat="false" ht="270.1" hidden="false" customHeight="false" outlineLevel="0" collapsed="false">
      <c r="A118" s="6" t="n">
        <v>117</v>
      </c>
      <c r="B118" s="6" t="s">
        <v>853</v>
      </c>
      <c r="C118" s="6" t="s">
        <v>22</v>
      </c>
      <c r="D118" s="6" t="n">
        <v>100</v>
      </c>
      <c r="E118" s="6" t="n">
        <v>10</v>
      </c>
      <c r="F118" s="6" t="s">
        <v>40</v>
      </c>
      <c r="G118" s="6" t="s">
        <v>897</v>
      </c>
      <c r="H118" s="6" t="s">
        <v>898</v>
      </c>
      <c r="I118" s="6" t="s">
        <v>899</v>
      </c>
      <c r="J118" s="6" t="s">
        <v>900</v>
      </c>
      <c r="K118" s="6"/>
      <c r="L118" s="6"/>
      <c r="M118" s="6" t="s">
        <v>901</v>
      </c>
      <c r="N118" s="7"/>
      <c r="O118" s="7"/>
      <c r="P118" s="7"/>
      <c r="Q118" s="7"/>
      <c r="R118" s="7"/>
      <c r="S118" s="6" t="s">
        <v>902</v>
      </c>
      <c r="T118" s="6" t="s">
        <v>903</v>
      </c>
      <c r="U118" s="6" t="s">
        <v>904</v>
      </c>
    </row>
    <row r="119" customFormat="false" ht="359.7" hidden="false" customHeight="false" outlineLevel="0" collapsed="false">
      <c r="A119" s="6" t="n">
        <v>118</v>
      </c>
      <c r="B119" s="6" t="s">
        <v>853</v>
      </c>
      <c r="C119" s="6" t="s">
        <v>22</v>
      </c>
      <c r="D119" s="6" t="n">
        <v>100</v>
      </c>
      <c r="E119" s="6" t="n">
        <v>2</v>
      </c>
      <c r="F119" s="6" t="s">
        <v>40</v>
      </c>
      <c r="G119" s="6" t="s">
        <v>905</v>
      </c>
      <c r="H119" s="6" t="s">
        <v>906</v>
      </c>
      <c r="I119" s="6" t="s">
        <v>907</v>
      </c>
      <c r="J119" s="6" t="s">
        <v>908</v>
      </c>
      <c r="K119" s="6"/>
      <c r="L119" s="6"/>
      <c r="M119" s="6" t="s">
        <v>909</v>
      </c>
      <c r="N119" s="7"/>
      <c r="O119" s="7"/>
      <c r="P119" s="7"/>
      <c r="Q119" s="7"/>
      <c r="R119" s="7"/>
      <c r="S119" s="6" t="s">
        <v>910</v>
      </c>
      <c r="T119" s="6" t="s">
        <v>911</v>
      </c>
      <c r="U119" s="6" t="s">
        <v>912</v>
      </c>
    </row>
    <row r="120" customFormat="false" ht="292.5" hidden="false" customHeight="false" outlineLevel="0" collapsed="false">
      <c r="A120" s="6" t="n">
        <v>119</v>
      </c>
      <c r="B120" s="6" t="s">
        <v>853</v>
      </c>
      <c r="C120" s="6" t="s">
        <v>22</v>
      </c>
      <c r="D120" s="6" t="n">
        <v>100</v>
      </c>
      <c r="E120" s="6" t="n">
        <v>2</v>
      </c>
      <c r="F120" s="6" t="s">
        <v>40</v>
      </c>
      <c r="G120" s="6" t="s">
        <v>913</v>
      </c>
      <c r="H120" s="6" t="s">
        <v>914</v>
      </c>
      <c r="I120" s="6" t="s">
        <v>915</v>
      </c>
      <c r="J120" s="6" t="s">
        <v>916</v>
      </c>
      <c r="K120" s="6"/>
      <c r="L120" s="6"/>
      <c r="M120" s="6" t="s">
        <v>917</v>
      </c>
      <c r="N120" s="7"/>
      <c r="O120" s="7"/>
      <c r="P120" s="7"/>
      <c r="Q120" s="7"/>
      <c r="R120" s="7"/>
      <c r="S120" s="6" t="s">
        <v>918</v>
      </c>
      <c r="T120" s="6" t="s">
        <v>911</v>
      </c>
      <c r="U120" s="6" t="s">
        <v>912</v>
      </c>
    </row>
    <row r="121" customFormat="false" ht="191.75" hidden="false" customHeight="false" outlineLevel="0" collapsed="false">
      <c r="A121" s="6" t="n">
        <v>120</v>
      </c>
      <c r="B121" s="6" t="s">
        <v>853</v>
      </c>
      <c r="C121" s="6" t="s">
        <v>22</v>
      </c>
      <c r="D121" s="6" t="n">
        <v>100</v>
      </c>
      <c r="E121" s="6" t="n">
        <v>2</v>
      </c>
      <c r="F121" s="6" t="s">
        <v>40</v>
      </c>
      <c r="G121" s="6" t="s">
        <v>919</v>
      </c>
      <c r="H121" s="6" t="s">
        <v>920</v>
      </c>
      <c r="I121" s="6" t="s">
        <v>919</v>
      </c>
      <c r="J121" s="6" t="s">
        <v>921</v>
      </c>
      <c r="K121" s="6"/>
      <c r="L121" s="6"/>
      <c r="M121" s="6" t="s">
        <v>922</v>
      </c>
      <c r="N121" s="7"/>
      <c r="O121" s="7"/>
      <c r="P121" s="7"/>
      <c r="Q121" s="7"/>
      <c r="R121" s="7"/>
      <c r="S121" s="6" t="s">
        <v>923</v>
      </c>
      <c r="T121" s="6" t="s">
        <v>924</v>
      </c>
      <c r="U121" s="6" t="s">
        <v>925</v>
      </c>
    </row>
    <row r="122" customFormat="false" ht="258.95" hidden="false" customHeight="false" outlineLevel="0" collapsed="false">
      <c r="A122" s="6" t="n">
        <v>121</v>
      </c>
      <c r="B122" s="6" t="s">
        <v>926</v>
      </c>
      <c r="C122" s="6" t="s">
        <v>22</v>
      </c>
      <c r="D122" s="6" t="n">
        <v>100</v>
      </c>
      <c r="E122" s="6" t="n">
        <v>1</v>
      </c>
      <c r="F122" s="6" t="s">
        <v>50</v>
      </c>
      <c r="G122" s="6" t="s">
        <v>927</v>
      </c>
      <c r="H122" s="6"/>
      <c r="I122" s="6" t="s">
        <v>928</v>
      </c>
      <c r="J122" s="6"/>
      <c r="K122" s="6" t="s">
        <v>50</v>
      </c>
      <c r="L122" s="6" t="s">
        <v>50</v>
      </c>
      <c r="M122" s="6" t="s">
        <v>929</v>
      </c>
      <c r="N122" s="7"/>
      <c r="O122" s="7"/>
      <c r="P122" s="7"/>
      <c r="Q122" s="7"/>
      <c r="R122" s="7"/>
      <c r="S122" s="6" t="s">
        <v>930</v>
      </c>
      <c r="T122" s="6" t="s">
        <v>303</v>
      </c>
      <c r="U122" s="6" t="s">
        <v>304</v>
      </c>
    </row>
    <row r="123" customFormat="false" ht="303.7" hidden="false" customHeight="false" outlineLevel="0" collapsed="false">
      <c r="A123" s="6" t="n">
        <v>122</v>
      </c>
      <c r="B123" s="6" t="s">
        <v>926</v>
      </c>
      <c r="C123" s="6" t="s">
        <v>22</v>
      </c>
      <c r="D123" s="6" t="n">
        <v>100</v>
      </c>
      <c r="E123" s="6" t="n">
        <v>1</v>
      </c>
      <c r="F123" s="6" t="s">
        <v>50</v>
      </c>
      <c r="G123" s="6" t="s">
        <v>931</v>
      </c>
      <c r="H123" s="6"/>
      <c r="I123" s="6" t="s">
        <v>932</v>
      </c>
      <c r="J123" s="6"/>
      <c r="K123" s="6" t="s">
        <v>50</v>
      </c>
      <c r="L123" s="6" t="s">
        <v>50</v>
      </c>
      <c r="M123" s="6" t="s">
        <v>933</v>
      </c>
      <c r="N123" s="7"/>
      <c r="O123" s="7"/>
      <c r="P123" s="7"/>
      <c r="Q123" s="7"/>
      <c r="R123" s="7"/>
      <c r="S123" s="6" t="s">
        <v>934</v>
      </c>
      <c r="T123" s="6" t="s">
        <v>935</v>
      </c>
      <c r="U123" s="6" t="s">
        <v>936</v>
      </c>
    </row>
    <row r="124" customFormat="false" ht="292.5" hidden="false" customHeight="false" outlineLevel="0" collapsed="false">
      <c r="A124" s="6" t="n">
        <v>123</v>
      </c>
      <c r="B124" s="6" t="s">
        <v>926</v>
      </c>
      <c r="C124" s="6" t="s">
        <v>22</v>
      </c>
      <c r="D124" s="6" t="n">
        <v>100</v>
      </c>
      <c r="E124" s="6" t="n">
        <v>1</v>
      </c>
      <c r="F124" s="6" t="s">
        <v>50</v>
      </c>
      <c r="G124" s="6" t="s">
        <v>937</v>
      </c>
      <c r="H124" s="6"/>
      <c r="I124" s="6" t="s">
        <v>938</v>
      </c>
      <c r="J124" s="6"/>
      <c r="K124" s="6" t="s">
        <v>50</v>
      </c>
      <c r="L124" s="6" t="s">
        <v>50</v>
      </c>
      <c r="M124" s="6" t="s">
        <v>939</v>
      </c>
      <c r="N124" s="7"/>
      <c r="O124" s="7"/>
      <c r="P124" s="7"/>
      <c r="Q124" s="7"/>
      <c r="R124" s="7"/>
      <c r="S124" s="6" t="s">
        <v>940</v>
      </c>
      <c r="T124" s="6" t="s">
        <v>941</v>
      </c>
      <c r="U124" s="6" t="s">
        <v>942</v>
      </c>
    </row>
    <row r="125" customFormat="false" ht="281.3" hidden="false" customHeight="false" outlineLevel="0" collapsed="false">
      <c r="A125" s="6" t="n">
        <v>124</v>
      </c>
      <c r="B125" s="6" t="s">
        <v>926</v>
      </c>
      <c r="C125" s="6" t="s">
        <v>22</v>
      </c>
      <c r="D125" s="6" t="n">
        <v>100</v>
      </c>
      <c r="E125" s="6" t="n">
        <v>1</v>
      </c>
      <c r="F125" s="6" t="s">
        <v>50</v>
      </c>
      <c r="G125" s="6" t="s">
        <v>943</v>
      </c>
      <c r="H125" s="6"/>
      <c r="I125" s="6" t="s">
        <v>944</v>
      </c>
      <c r="J125" s="6"/>
      <c r="K125" s="6" t="s">
        <v>50</v>
      </c>
      <c r="L125" s="6" t="s">
        <v>50</v>
      </c>
      <c r="M125" s="6" t="s">
        <v>945</v>
      </c>
      <c r="N125" s="7"/>
      <c r="O125" s="7"/>
      <c r="P125" s="7"/>
      <c r="Q125" s="7"/>
      <c r="R125" s="7"/>
      <c r="S125" s="6" t="s">
        <v>946</v>
      </c>
      <c r="T125" s="6" t="s">
        <v>947</v>
      </c>
      <c r="U125" s="6" t="s">
        <v>948</v>
      </c>
    </row>
    <row r="126" customFormat="false" ht="303.7" hidden="false" customHeight="false" outlineLevel="0" collapsed="false">
      <c r="A126" s="6" t="n">
        <v>125</v>
      </c>
      <c r="B126" s="6" t="s">
        <v>926</v>
      </c>
      <c r="C126" s="6" t="s">
        <v>22</v>
      </c>
      <c r="D126" s="6" t="n">
        <v>100</v>
      </c>
      <c r="E126" s="6" t="n">
        <v>2</v>
      </c>
      <c r="F126" s="6" t="s">
        <v>50</v>
      </c>
      <c r="G126" s="6" t="s">
        <v>949</v>
      </c>
      <c r="H126" s="6"/>
      <c r="I126" s="6" t="s">
        <v>950</v>
      </c>
      <c r="J126" s="6"/>
      <c r="K126" s="6" t="s">
        <v>50</v>
      </c>
      <c r="L126" s="6" t="s">
        <v>50</v>
      </c>
      <c r="M126" s="6" t="s">
        <v>951</v>
      </c>
      <c r="N126" s="7"/>
      <c r="O126" s="7"/>
      <c r="P126" s="7"/>
      <c r="Q126" s="7"/>
      <c r="R126" s="7"/>
      <c r="S126" s="6" t="s">
        <v>952</v>
      </c>
      <c r="T126" s="6" t="s">
        <v>953</v>
      </c>
      <c r="U126" s="6" t="s">
        <v>954</v>
      </c>
    </row>
    <row r="127" customFormat="false" ht="326.1" hidden="false" customHeight="false" outlineLevel="0" collapsed="false">
      <c r="A127" s="6" t="n">
        <v>126</v>
      </c>
      <c r="B127" s="6" t="s">
        <v>479</v>
      </c>
      <c r="C127" s="6" t="s">
        <v>374</v>
      </c>
      <c r="D127" s="6" t="n">
        <v>98</v>
      </c>
      <c r="E127" s="6" t="n">
        <v>1</v>
      </c>
      <c r="F127" s="6" t="s">
        <v>479</v>
      </c>
      <c r="G127" s="6" t="s">
        <v>955</v>
      </c>
      <c r="H127" s="6"/>
      <c r="I127" s="6" t="s">
        <v>956</v>
      </c>
      <c r="J127" s="6"/>
      <c r="K127" s="6" t="s">
        <v>482</v>
      </c>
      <c r="L127" s="6" t="s">
        <v>482</v>
      </c>
      <c r="M127" s="6" t="s">
        <v>957</v>
      </c>
      <c r="N127" s="7"/>
      <c r="O127" s="7"/>
      <c r="P127" s="7"/>
      <c r="Q127" s="7"/>
      <c r="R127" s="7"/>
      <c r="S127" s="6" t="s">
        <v>958</v>
      </c>
      <c r="T127" s="6" t="s">
        <v>959</v>
      </c>
      <c r="U127" s="6" t="s">
        <v>960</v>
      </c>
    </row>
    <row r="128" customFormat="false" ht="281.3" hidden="false" customHeight="false" outlineLevel="0" collapsed="false">
      <c r="A128" s="6" t="n">
        <v>127</v>
      </c>
      <c r="B128" s="6" t="s">
        <v>479</v>
      </c>
      <c r="C128" s="6" t="s">
        <v>22</v>
      </c>
      <c r="D128" s="6" t="n">
        <v>100</v>
      </c>
      <c r="E128" s="6" t="n">
        <v>1</v>
      </c>
      <c r="F128" s="6" t="s">
        <v>479</v>
      </c>
      <c r="G128" s="6" t="s">
        <v>961</v>
      </c>
      <c r="H128" s="6"/>
      <c r="I128" s="6" t="s">
        <v>961</v>
      </c>
      <c r="J128" s="6"/>
      <c r="K128" s="6" t="s">
        <v>482</v>
      </c>
      <c r="L128" s="6" t="s">
        <v>482</v>
      </c>
      <c r="M128" s="6" t="s">
        <v>962</v>
      </c>
      <c r="N128" s="7"/>
      <c r="O128" s="7"/>
      <c r="P128" s="7"/>
      <c r="Q128" s="7"/>
      <c r="R128" s="7"/>
      <c r="S128" s="6" t="s">
        <v>963</v>
      </c>
      <c r="T128" s="6" t="s">
        <v>964</v>
      </c>
      <c r="U128" s="6" t="s">
        <v>965</v>
      </c>
    </row>
    <row r="129" customFormat="false" ht="326.1" hidden="false" customHeight="false" outlineLevel="0" collapsed="false">
      <c r="A129" s="6" t="n">
        <v>128</v>
      </c>
      <c r="B129" s="6" t="s">
        <v>479</v>
      </c>
      <c r="C129" s="6" t="s">
        <v>22</v>
      </c>
      <c r="D129" s="6" t="n">
        <v>100</v>
      </c>
      <c r="E129" s="6" t="n">
        <v>1</v>
      </c>
      <c r="F129" s="6" t="s">
        <v>479</v>
      </c>
      <c r="G129" s="6" t="s">
        <v>966</v>
      </c>
      <c r="H129" s="6"/>
      <c r="I129" s="6" t="s">
        <v>966</v>
      </c>
      <c r="J129" s="6"/>
      <c r="K129" s="6" t="s">
        <v>482</v>
      </c>
      <c r="L129" s="6" t="s">
        <v>482</v>
      </c>
      <c r="M129" s="6" t="s">
        <v>967</v>
      </c>
      <c r="N129" s="7"/>
      <c r="O129" s="7"/>
      <c r="P129" s="7"/>
      <c r="Q129" s="7"/>
      <c r="R129" s="7"/>
      <c r="S129" s="6" t="s">
        <v>968</v>
      </c>
      <c r="T129" s="6" t="s">
        <v>969</v>
      </c>
      <c r="U129" s="6" t="s">
        <v>970</v>
      </c>
    </row>
    <row r="130" customFormat="false" ht="292.5" hidden="false" customHeight="false" outlineLevel="0" collapsed="false">
      <c r="A130" s="6" t="n">
        <v>129</v>
      </c>
      <c r="B130" s="6" t="s">
        <v>479</v>
      </c>
      <c r="C130" s="6" t="s">
        <v>488</v>
      </c>
      <c r="D130" s="6" t="n">
        <v>99.5</v>
      </c>
      <c r="E130" s="6" t="n">
        <v>1</v>
      </c>
      <c r="F130" s="6" t="s">
        <v>479</v>
      </c>
      <c r="G130" s="6" t="s">
        <v>971</v>
      </c>
      <c r="H130" s="6"/>
      <c r="I130" s="6" t="s">
        <v>972</v>
      </c>
      <c r="J130" s="6"/>
      <c r="K130" s="6" t="s">
        <v>482</v>
      </c>
      <c r="L130" s="6" t="s">
        <v>482</v>
      </c>
      <c r="M130" s="6" t="s">
        <v>973</v>
      </c>
      <c r="N130" s="7"/>
      <c r="O130" s="7"/>
      <c r="P130" s="7"/>
      <c r="Q130" s="7"/>
      <c r="R130" s="7"/>
      <c r="S130" s="6" t="s">
        <v>974</v>
      </c>
      <c r="T130" s="6" t="s">
        <v>975</v>
      </c>
      <c r="U130" s="6" t="s">
        <v>976</v>
      </c>
    </row>
    <row r="131" customFormat="false" ht="303.7" hidden="false" customHeight="false" outlineLevel="0" collapsed="false">
      <c r="A131" s="6" t="n">
        <v>130</v>
      </c>
      <c r="B131" s="6" t="s">
        <v>479</v>
      </c>
      <c r="C131" s="6" t="s">
        <v>488</v>
      </c>
      <c r="D131" s="6" t="n">
        <v>96.2</v>
      </c>
      <c r="E131" s="6" t="n">
        <v>1</v>
      </c>
      <c r="F131" s="6" t="s">
        <v>479</v>
      </c>
      <c r="G131" s="6" t="s">
        <v>977</v>
      </c>
      <c r="H131" s="6"/>
      <c r="I131" s="6" t="s">
        <v>978</v>
      </c>
      <c r="J131" s="6"/>
      <c r="K131" s="6" t="s">
        <v>482</v>
      </c>
      <c r="L131" s="6" t="s">
        <v>482</v>
      </c>
      <c r="M131" s="6" t="s">
        <v>979</v>
      </c>
      <c r="N131" s="7"/>
      <c r="O131" s="7"/>
      <c r="P131" s="7"/>
      <c r="Q131" s="7"/>
      <c r="R131" s="7"/>
      <c r="S131" s="6" t="s">
        <v>980</v>
      </c>
      <c r="T131" s="6" t="s">
        <v>981</v>
      </c>
      <c r="U131" s="6" t="s">
        <v>982</v>
      </c>
    </row>
    <row r="132" customFormat="false" ht="214.15" hidden="false" customHeight="false" outlineLevel="0" collapsed="false">
      <c r="A132" s="6" t="n">
        <v>131</v>
      </c>
      <c r="B132" s="6" t="s">
        <v>567</v>
      </c>
      <c r="C132" s="6" t="s">
        <v>22</v>
      </c>
      <c r="D132" s="6" t="n">
        <v>100</v>
      </c>
      <c r="E132" s="6" t="n">
        <v>1</v>
      </c>
      <c r="F132" s="6" t="s">
        <v>567</v>
      </c>
      <c r="G132" s="6" t="s">
        <v>983</v>
      </c>
      <c r="H132" s="6"/>
      <c r="I132" s="6" t="s">
        <v>984</v>
      </c>
      <c r="J132" s="6"/>
      <c r="K132" s="6" t="s">
        <v>570</v>
      </c>
      <c r="L132" s="6" t="s">
        <v>570</v>
      </c>
      <c r="M132" s="6" t="s">
        <v>985</v>
      </c>
      <c r="N132" s="7"/>
      <c r="O132" s="7"/>
      <c r="P132" s="7"/>
      <c r="Q132" s="7"/>
      <c r="R132" s="7"/>
      <c r="S132" s="6" t="s">
        <v>986</v>
      </c>
      <c r="T132" s="6" t="s">
        <v>987</v>
      </c>
      <c r="U132" s="6" t="s">
        <v>988</v>
      </c>
    </row>
    <row r="133" customFormat="false" ht="180.55" hidden="false" customHeight="false" outlineLevel="0" collapsed="false">
      <c r="A133" s="6" t="n">
        <v>132</v>
      </c>
      <c r="B133" s="6" t="s">
        <v>567</v>
      </c>
      <c r="C133" s="6" t="s">
        <v>22</v>
      </c>
      <c r="D133" s="6" t="n">
        <v>100</v>
      </c>
      <c r="E133" s="6" t="n">
        <v>1</v>
      </c>
      <c r="F133" s="6" t="s">
        <v>567</v>
      </c>
      <c r="G133" s="6" t="s">
        <v>989</v>
      </c>
      <c r="H133" s="6"/>
      <c r="I133" s="6" t="s">
        <v>990</v>
      </c>
      <c r="J133" s="6"/>
      <c r="K133" s="6" t="s">
        <v>570</v>
      </c>
      <c r="L133" s="6" t="s">
        <v>570</v>
      </c>
      <c r="M133" s="6" t="s">
        <v>991</v>
      </c>
      <c r="N133" s="7"/>
      <c r="O133" s="7"/>
      <c r="P133" s="7"/>
      <c r="Q133" s="7"/>
      <c r="R133" s="7"/>
      <c r="S133" s="6" t="s">
        <v>992</v>
      </c>
      <c r="T133" s="6" t="s">
        <v>993</v>
      </c>
      <c r="U133" s="6" t="s">
        <v>994</v>
      </c>
    </row>
    <row r="134" customFormat="false" ht="214.15" hidden="false" customHeight="false" outlineLevel="0" collapsed="false">
      <c r="A134" s="6" t="n">
        <v>133</v>
      </c>
      <c r="B134" s="6" t="s">
        <v>567</v>
      </c>
      <c r="C134" s="6" t="s">
        <v>488</v>
      </c>
      <c r="D134" s="6" t="n">
        <v>97.3</v>
      </c>
      <c r="E134" s="6" t="n">
        <v>1</v>
      </c>
      <c r="F134" s="6" t="s">
        <v>567</v>
      </c>
      <c r="G134" s="6" t="s">
        <v>995</v>
      </c>
      <c r="H134" s="6"/>
      <c r="I134" s="6" t="s">
        <v>996</v>
      </c>
      <c r="J134" s="6"/>
      <c r="K134" s="6" t="s">
        <v>570</v>
      </c>
      <c r="L134" s="6" t="s">
        <v>570</v>
      </c>
      <c r="M134" s="6" t="s">
        <v>997</v>
      </c>
      <c r="N134" s="7"/>
      <c r="O134" s="7"/>
      <c r="P134" s="7"/>
      <c r="Q134" s="7"/>
      <c r="R134" s="7"/>
      <c r="S134" s="6" t="s">
        <v>998</v>
      </c>
      <c r="T134" s="6" t="s">
        <v>859</v>
      </c>
      <c r="U134" s="6" t="s">
        <v>860</v>
      </c>
    </row>
    <row r="135" customFormat="false" ht="326.1" hidden="false" customHeight="false" outlineLevel="0" collapsed="false">
      <c r="A135" s="6" t="n">
        <v>134</v>
      </c>
      <c r="B135" s="6" t="s">
        <v>567</v>
      </c>
      <c r="C135" s="6" t="s">
        <v>488</v>
      </c>
      <c r="D135" s="6" t="n">
        <v>93.2</v>
      </c>
      <c r="E135" s="6" t="n">
        <v>1</v>
      </c>
      <c r="F135" s="6" t="s">
        <v>567</v>
      </c>
      <c r="G135" s="6" t="s">
        <v>999</v>
      </c>
      <c r="H135" s="6"/>
      <c r="I135" s="6" t="s">
        <v>1000</v>
      </c>
      <c r="J135" s="6"/>
      <c r="K135" s="6" t="s">
        <v>570</v>
      </c>
      <c r="L135" s="6" t="s">
        <v>570</v>
      </c>
      <c r="M135" s="6" t="s">
        <v>1001</v>
      </c>
      <c r="N135" s="7"/>
      <c r="O135" s="7"/>
      <c r="P135" s="7"/>
      <c r="Q135" s="7"/>
      <c r="R135" s="7"/>
      <c r="S135" s="6" t="s">
        <v>1002</v>
      </c>
      <c r="T135" s="6" t="s">
        <v>1003</v>
      </c>
      <c r="U135" s="6" t="s">
        <v>1004</v>
      </c>
    </row>
    <row r="136" customFormat="false" ht="180.55" hidden="false" customHeight="false" outlineLevel="0" collapsed="false">
      <c r="A136" s="6" t="n">
        <v>135</v>
      </c>
      <c r="B136" s="6" t="s">
        <v>567</v>
      </c>
      <c r="C136" s="6" t="s">
        <v>488</v>
      </c>
      <c r="D136" s="6" t="n">
        <v>98</v>
      </c>
      <c r="E136" s="6" t="n">
        <v>1</v>
      </c>
      <c r="F136" s="6" t="s">
        <v>567</v>
      </c>
      <c r="G136" s="6" t="s">
        <v>1005</v>
      </c>
      <c r="H136" s="6"/>
      <c r="I136" s="6" t="s">
        <v>1006</v>
      </c>
      <c r="J136" s="6"/>
      <c r="K136" s="6" t="s">
        <v>570</v>
      </c>
      <c r="L136" s="6" t="s">
        <v>570</v>
      </c>
      <c r="M136" s="6" t="s">
        <v>1007</v>
      </c>
      <c r="N136" s="7"/>
      <c r="O136" s="7"/>
      <c r="P136" s="7"/>
      <c r="Q136" s="7"/>
      <c r="R136" s="7"/>
      <c r="S136" s="6" t="s">
        <v>1008</v>
      </c>
      <c r="T136" s="6" t="s">
        <v>859</v>
      </c>
      <c r="U136" s="6" t="s">
        <v>860</v>
      </c>
    </row>
    <row r="137" customFormat="false" ht="404.45" hidden="false" customHeight="false" outlineLevel="0" collapsed="false">
      <c r="A137" s="6" t="n">
        <v>136</v>
      </c>
      <c r="B137" s="6" t="s">
        <v>1009</v>
      </c>
      <c r="C137" s="6" t="s">
        <v>1009</v>
      </c>
      <c r="D137" s="6"/>
      <c r="E137" s="6"/>
      <c r="F137" s="6"/>
      <c r="G137" s="6" t="s">
        <v>1010</v>
      </c>
      <c r="H137" s="6"/>
      <c r="I137" s="6"/>
      <c r="J137" s="6"/>
      <c r="K137" s="6"/>
      <c r="L137" s="6"/>
      <c r="M137" s="6" t="s">
        <v>1011</v>
      </c>
      <c r="N137" s="7" t="s">
        <v>27</v>
      </c>
      <c r="O137" s="7" t="s">
        <v>27</v>
      </c>
      <c r="P137" s="7" t="s">
        <v>27</v>
      </c>
      <c r="Q137" s="7"/>
      <c r="R137" s="7"/>
      <c r="S137" s="6" t="s">
        <v>1012</v>
      </c>
      <c r="T137" s="6" t="s">
        <v>655</v>
      </c>
      <c r="U137" s="6" t="s">
        <v>656</v>
      </c>
    </row>
    <row r="138" customFormat="false" ht="314.9" hidden="false" customHeight="false" outlineLevel="0" collapsed="false">
      <c r="A138" s="6" t="n">
        <v>137</v>
      </c>
      <c r="B138" s="6" t="s">
        <v>1009</v>
      </c>
      <c r="C138" s="6" t="s">
        <v>1009</v>
      </c>
      <c r="D138" s="6"/>
      <c r="E138" s="6"/>
      <c r="F138" s="6"/>
      <c r="G138" s="6" t="s">
        <v>1013</v>
      </c>
      <c r="H138" s="6"/>
      <c r="I138" s="6"/>
      <c r="J138" s="6"/>
      <c r="K138" s="6"/>
      <c r="L138" s="6"/>
      <c r="M138" s="6" t="s">
        <v>1014</v>
      </c>
      <c r="N138" s="7" t="s">
        <v>27</v>
      </c>
      <c r="O138" s="7" t="s">
        <v>27</v>
      </c>
      <c r="P138" s="7" t="s">
        <v>27</v>
      </c>
      <c r="Q138" s="7"/>
      <c r="R138" s="7"/>
      <c r="S138" s="6" t="s">
        <v>1015</v>
      </c>
      <c r="T138" s="6" t="s">
        <v>1016</v>
      </c>
      <c r="U138" s="6" t="s">
        <v>1017</v>
      </c>
    </row>
    <row r="139" customFormat="false" ht="382.05" hidden="false" customHeight="false" outlineLevel="0" collapsed="false">
      <c r="A139" s="6" t="n">
        <v>138</v>
      </c>
      <c r="B139" s="6" t="s">
        <v>1009</v>
      </c>
      <c r="C139" s="6" t="s">
        <v>1009</v>
      </c>
      <c r="D139" s="6"/>
      <c r="E139" s="6"/>
      <c r="F139" s="6"/>
      <c r="G139" s="6" t="s">
        <v>1018</v>
      </c>
      <c r="H139" s="6"/>
      <c r="I139" s="6"/>
      <c r="J139" s="6"/>
      <c r="K139" s="6"/>
      <c r="L139" s="6"/>
      <c r="M139" s="6" t="s">
        <v>1019</v>
      </c>
      <c r="N139" s="7" t="s">
        <v>27</v>
      </c>
      <c r="O139" s="7" t="s">
        <v>27</v>
      </c>
      <c r="P139" s="7" t="s">
        <v>27</v>
      </c>
      <c r="Q139" s="7"/>
      <c r="R139" s="7"/>
      <c r="S139" s="6" t="s">
        <v>1020</v>
      </c>
      <c r="T139" s="6" t="s">
        <v>1021</v>
      </c>
      <c r="U139" s="6" t="s">
        <v>1022</v>
      </c>
    </row>
    <row r="140" customFormat="false" ht="270.1" hidden="false" customHeight="false" outlineLevel="0" collapsed="false">
      <c r="A140" s="6" t="n">
        <v>139</v>
      </c>
      <c r="B140" s="6" t="s">
        <v>1009</v>
      </c>
      <c r="C140" s="6" t="s">
        <v>1009</v>
      </c>
      <c r="D140" s="6"/>
      <c r="E140" s="6"/>
      <c r="F140" s="6"/>
      <c r="G140" s="6" t="s">
        <v>1023</v>
      </c>
      <c r="H140" s="6"/>
      <c r="I140" s="6"/>
      <c r="J140" s="6"/>
      <c r="K140" s="6"/>
      <c r="L140" s="6"/>
      <c r="M140" s="6" t="s">
        <v>1024</v>
      </c>
      <c r="N140" s="7" t="s">
        <v>27</v>
      </c>
      <c r="O140" s="7" t="s">
        <v>27</v>
      </c>
      <c r="P140" s="7" t="s">
        <v>27</v>
      </c>
      <c r="Q140" s="7"/>
      <c r="R140" s="7"/>
      <c r="S140" s="6" t="s">
        <v>1025</v>
      </c>
      <c r="T140" s="6" t="s">
        <v>1026</v>
      </c>
      <c r="U140" s="6" t="s">
        <v>1027</v>
      </c>
    </row>
    <row r="141" customFormat="false" ht="258.95" hidden="false" customHeight="false" outlineLevel="0" collapsed="false">
      <c r="A141" s="6" t="n">
        <v>140</v>
      </c>
      <c r="B141" s="6" t="s">
        <v>1009</v>
      </c>
      <c r="C141" s="6" t="s">
        <v>1009</v>
      </c>
      <c r="D141" s="6"/>
      <c r="E141" s="6"/>
      <c r="F141" s="6"/>
      <c r="G141" s="6" t="s">
        <v>1028</v>
      </c>
      <c r="H141" s="6"/>
      <c r="I141" s="6"/>
      <c r="J141" s="6"/>
      <c r="K141" s="6"/>
      <c r="L141" s="6"/>
      <c r="M141" s="6" t="s">
        <v>1029</v>
      </c>
      <c r="N141" s="7" t="s">
        <v>27</v>
      </c>
      <c r="O141" s="7" t="s">
        <v>27</v>
      </c>
      <c r="P141" s="7" t="s">
        <v>27</v>
      </c>
      <c r="Q141" s="7"/>
      <c r="R141" s="7"/>
      <c r="S141" s="6" t="s">
        <v>1030</v>
      </c>
      <c r="T141" s="6" t="s">
        <v>205</v>
      </c>
      <c r="U141" s="6" t="s">
        <v>206</v>
      </c>
    </row>
    <row r="142" customFormat="false" ht="270.1" hidden="false" customHeight="false" outlineLevel="0" collapsed="false">
      <c r="A142" s="6" t="n">
        <v>141</v>
      </c>
      <c r="B142" s="6" t="s">
        <v>1009</v>
      </c>
      <c r="C142" s="6" t="s">
        <v>1009</v>
      </c>
      <c r="D142" s="6"/>
      <c r="E142" s="6"/>
      <c r="F142" s="6"/>
      <c r="G142" s="6" t="s">
        <v>1031</v>
      </c>
      <c r="H142" s="6"/>
      <c r="I142" s="6"/>
      <c r="J142" s="6"/>
      <c r="K142" s="6"/>
      <c r="L142" s="6"/>
      <c r="M142" s="6" t="s">
        <v>1032</v>
      </c>
      <c r="N142" s="7" t="s">
        <v>27</v>
      </c>
      <c r="O142" s="7" t="s">
        <v>27</v>
      </c>
      <c r="P142" s="7" t="s">
        <v>27</v>
      </c>
      <c r="Q142" s="7"/>
      <c r="R142" s="7"/>
      <c r="S142" s="6" t="s">
        <v>1033</v>
      </c>
      <c r="T142" s="6" t="s">
        <v>1034</v>
      </c>
      <c r="U142" s="6" t="s">
        <v>1035</v>
      </c>
    </row>
    <row r="143" customFormat="false" ht="348.5" hidden="false" customHeight="false" outlineLevel="0" collapsed="false">
      <c r="A143" s="6" t="n">
        <v>142</v>
      </c>
      <c r="B143" s="6" t="s">
        <v>1009</v>
      </c>
      <c r="C143" s="6" t="s">
        <v>1009</v>
      </c>
      <c r="D143" s="6"/>
      <c r="E143" s="6"/>
      <c r="F143" s="6"/>
      <c r="G143" s="6" t="s">
        <v>1036</v>
      </c>
      <c r="H143" s="6"/>
      <c r="I143" s="6"/>
      <c r="J143" s="6"/>
      <c r="K143" s="6"/>
      <c r="L143" s="6"/>
      <c r="M143" s="6" t="s">
        <v>1037</v>
      </c>
      <c r="N143" s="7" t="s">
        <v>27</v>
      </c>
      <c r="O143" s="7" t="s">
        <v>27</v>
      </c>
      <c r="P143" s="7" t="s">
        <v>27</v>
      </c>
      <c r="Q143" s="7"/>
      <c r="R143" s="7"/>
      <c r="S143" s="6" t="s">
        <v>1038</v>
      </c>
      <c r="T143" s="6" t="s">
        <v>348</v>
      </c>
      <c r="U143" s="6" t="s">
        <v>349</v>
      </c>
    </row>
    <row r="144" customFormat="false" ht="370.85" hidden="false" customHeight="false" outlineLevel="0" collapsed="false">
      <c r="A144" s="6" t="n">
        <v>143</v>
      </c>
      <c r="B144" s="6" t="s">
        <v>1009</v>
      </c>
      <c r="C144" s="6" t="s">
        <v>1009</v>
      </c>
      <c r="D144" s="6"/>
      <c r="E144" s="6"/>
      <c r="F144" s="6"/>
      <c r="G144" s="6" t="s">
        <v>1039</v>
      </c>
      <c r="H144" s="6"/>
      <c r="I144" s="6"/>
      <c r="J144" s="6"/>
      <c r="K144" s="6"/>
      <c r="L144" s="6"/>
      <c r="M144" s="6" t="s">
        <v>1040</v>
      </c>
      <c r="N144" s="7" t="s">
        <v>27</v>
      </c>
      <c r="O144" s="7" t="s">
        <v>27</v>
      </c>
      <c r="P144" s="7" t="s">
        <v>27</v>
      </c>
      <c r="Q144" s="7"/>
      <c r="R144" s="7"/>
      <c r="S144" s="6" t="s">
        <v>1041</v>
      </c>
      <c r="T144" s="6" t="s">
        <v>751</v>
      </c>
      <c r="U144" s="6" t="s">
        <v>752</v>
      </c>
    </row>
    <row r="145" customFormat="false" ht="382.05" hidden="false" customHeight="false" outlineLevel="0" collapsed="false">
      <c r="A145" s="6" t="n">
        <v>144</v>
      </c>
      <c r="B145" s="6" t="s">
        <v>1009</v>
      </c>
      <c r="C145" s="6" t="s">
        <v>1009</v>
      </c>
      <c r="D145" s="6"/>
      <c r="E145" s="6"/>
      <c r="F145" s="6"/>
      <c r="G145" s="6" t="s">
        <v>1042</v>
      </c>
      <c r="H145" s="6"/>
      <c r="I145" s="6"/>
      <c r="J145" s="6"/>
      <c r="K145" s="6"/>
      <c r="L145" s="6"/>
      <c r="M145" s="6" t="s">
        <v>1043</v>
      </c>
      <c r="N145" s="7" t="s">
        <v>27</v>
      </c>
      <c r="O145" s="7" t="s">
        <v>27</v>
      </c>
      <c r="P145" s="7" t="s">
        <v>27</v>
      </c>
      <c r="Q145" s="7"/>
      <c r="R145" s="7"/>
      <c r="S145" s="6" t="s">
        <v>1044</v>
      </c>
      <c r="T145" s="6" t="s">
        <v>1045</v>
      </c>
      <c r="U145" s="6" t="s">
        <v>1046</v>
      </c>
    </row>
    <row r="146" customFormat="false" ht="225.35" hidden="false" customHeight="false" outlineLevel="0" collapsed="false">
      <c r="A146" s="6" t="n">
        <v>145</v>
      </c>
      <c r="B146" s="6" t="s">
        <v>1009</v>
      </c>
      <c r="C146" s="6" t="s">
        <v>1009</v>
      </c>
      <c r="D146" s="6"/>
      <c r="E146" s="6"/>
      <c r="F146" s="6"/>
      <c r="G146" s="6" t="s">
        <v>1047</v>
      </c>
      <c r="H146" s="6"/>
      <c r="I146" s="6"/>
      <c r="J146" s="6"/>
      <c r="K146" s="6"/>
      <c r="L146" s="6"/>
      <c r="M146" s="6" t="s">
        <v>1048</v>
      </c>
      <c r="N146" s="7" t="s">
        <v>27</v>
      </c>
      <c r="O146" s="7" t="s">
        <v>27</v>
      </c>
      <c r="P146" s="7" t="s">
        <v>27</v>
      </c>
      <c r="Q146" s="7"/>
      <c r="R146" s="7"/>
      <c r="S146" s="6" t="s">
        <v>1049</v>
      </c>
      <c r="T146" s="6" t="s">
        <v>634</v>
      </c>
      <c r="U146" s="6" t="s">
        <v>635</v>
      </c>
    </row>
    <row r="147" customFormat="false" ht="202.95" hidden="false" customHeight="false" outlineLevel="0" collapsed="false">
      <c r="A147" s="6" t="n">
        <v>146</v>
      </c>
      <c r="B147" s="6" t="s">
        <v>1009</v>
      </c>
      <c r="C147" s="6" t="s">
        <v>1009</v>
      </c>
      <c r="D147" s="6"/>
      <c r="E147" s="6"/>
      <c r="F147" s="6"/>
      <c r="G147" s="6" t="s">
        <v>1050</v>
      </c>
      <c r="H147" s="6"/>
      <c r="I147" s="6"/>
      <c r="J147" s="6"/>
      <c r="K147" s="6"/>
      <c r="L147" s="6"/>
      <c r="M147" s="6" t="s">
        <v>1051</v>
      </c>
      <c r="N147" s="7" t="s">
        <v>27</v>
      </c>
      <c r="O147" s="7" t="s">
        <v>27</v>
      </c>
      <c r="P147" s="7" t="s">
        <v>27</v>
      </c>
      <c r="Q147" s="7"/>
      <c r="R147" s="7"/>
      <c r="S147" s="6" t="s">
        <v>1052</v>
      </c>
      <c r="T147" s="6" t="s">
        <v>1053</v>
      </c>
      <c r="U147" s="6" t="s">
        <v>1054</v>
      </c>
    </row>
    <row r="148" customFormat="false" ht="292.5" hidden="false" customHeight="false" outlineLevel="0" collapsed="false">
      <c r="A148" s="6" t="n">
        <v>147</v>
      </c>
      <c r="B148" s="6" t="s">
        <v>1009</v>
      </c>
      <c r="C148" s="6" t="s">
        <v>1009</v>
      </c>
      <c r="D148" s="6"/>
      <c r="E148" s="6"/>
      <c r="F148" s="6"/>
      <c r="G148" s="6" t="s">
        <v>1055</v>
      </c>
      <c r="H148" s="6"/>
      <c r="I148" s="6"/>
      <c r="J148" s="6"/>
      <c r="K148" s="6"/>
      <c r="L148" s="6"/>
      <c r="M148" s="6" t="s">
        <v>1056</v>
      </c>
      <c r="N148" s="7" t="s">
        <v>27</v>
      </c>
      <c r="O148" s="7" t="s">
        <v>27</v>
      </c>
      <c r="P148" s="7" t="s">
        <v>27</v>
      </c>
      <c r="Q148" s="7"/>
      <c r="R148" s="7"/>
      <c r="S148" s="6" t="s">
        <v>1057</v>
      </c>
      <c r="T148" s="6" t="s">
        <v>1058</v>
      </c>
      <c r="U148" s="6" t="s">
        <v>1059</v>
      </c>
    </row>
    <row r="149" customFormat="false" ht="337.3" hidden="false" customHeight="false" outlineLevel="0" collapsed="false">
      <c r="A149" s="6" t="n">
        <v>148</v>
      </c>
      <c r="B149" s="6" t="s">
        <v>1009</v>
      </c>
      <c r="C149" s="6" t="s">
        <v>1009</v>
      </c>
      <c r="D149" s="6"/>
      <c r="E149" s="6"/>
      <c r="F149" s="6"/>
      <c r="G149" s="6" t="s">
        <v>1060</v>
      </c>
      <c r="H149" s="6"/>
      <c r="I149" s="6"/>
      <c r="J149" s="6"/>
      <c r="K149" s="6"/>
      <c r="L149" s="6"/>
      <c r="M149" s="6" t="s">
        <v>1061</v>
      </c>
      <c r="N149" s="7" t="s">
        <v>27</v>
      </c>
      <c r="O149" s="7" t="s">
        <v>27</v>
      </c>
      <c r="P149" s="7" t="s">
        <v>27</v>
      </c>
      <c r="Q149" s="7"/>
      <c r="R149" s="7"/>
      <c r="S149" s="6" t="s">
        <v>1062</v>
      </c>
      <c r="T149" s="6" t="s">
        <v>1063</v>
      </c>
      <c r="U149" s="6" t="s">
        <v>1064</v>
      </c>
    </row>
    <row r="150" customFormat="false" ht="370.85" hidden="false" customHeight="false" outlineLevel="0" collapsed="false">
      <c r="A150" s="6" t="n">
        <v>149</v>
      </c>
      <c r="B150" s="6" t="s">
        <v>1009</v>
      </c>
      <c r="C150" s="6" t="s">
        <v>1009</v>
      </c>
      <c r="D150" s="6"/>
      <c r="E150" s="6"/>
      <c r="F150" s="6"/>
      <c r="G150" s="6" t="s">
        <v>1065</v>
      </c>
      <c r="H150" s="6"/>
      <c r="I150" s="6"/>
      <c r="J150" s="6"/>
      <c r="K150" s="6"/>
      <c r="L150" s="6"/>
      <c r="M150" s="6" t="s">
        <v>1066</v>
      </c>
      <c r="N150" s="7" t="s">
        <v>27</v>
      </c>
      <c r="O150" s="7" t="s">
        <v>27</v>
      </c>
      <c r="P150" s="7" t="s">
        <v>27</v>
      </c>
      <c r="Q150" s="7"/>
      <c r="R150" s="7"/>
      <c r="S150" s="6" t="s">
        <v>1067</v>
      </c>
      <c r="T150" s="6" t="s">
        <v>1068</v>
      </c>
      <c r="U150" s="6" t="s">
        <v>1069</v>
      </c>
    </row>
    <row r="151" customFormat="false" ht="303.7" hidden="false" customHeight="false" outlineLevel="0" collapsed="false">
      <c r="A151" s="6" t="n">
        <v>150</v>
      </c>
      <c r="B151" s="6" t="s">
        <v>1009</v>
      </c>
      <c r="C151" s="6" t="s">
        <v>1009</v>
      </c>
      <c r="D151" s="6"/>
      <c r="E151" s="6"/>
      <c r="F151" s="6"/>
      <c r="G151" s="6" t="s">
        <v>1070</v>
      </c>
      <c r="H151" s="6"/>
      <c r="I151" s="6"/>
      <c r="J151" s="6"/>
      <c r="K151" s="6"/>
      <c r="L151" s="6"/>
      <c r="M151" s="6" t="s">
        <v>1071</v>
      </c>
      <c r="N151" s="7" t="s">
        <v>27</v>
      </c>
      <c r="O151" s="7" t="s">
        <v>27</v>
      </c>
      <c r="P151" s="7" t="s">
        <v>27</v>
      </c>
      <c r="Q151" s="7"/>
      <c r="R151" s="7"/>
      <c r="S151" s="6" t="s">
        <v>1072</v>
      </c>
      <c r="T151" s="6" t="s">
        <v>1073</v>
      </c>
      <c r="U151" s="6" t="s">
        <v>1074</v>
      </c>
    </row>
    <row r="152" customFormat="false" ht="359.7" hidden="false" customHeight="false" outlineLevel="0" collapsed="false">
      <c r="A152" s="6" t="n">
        <v>151</v>
      </c>
      <c r="B152" s="6" t="s">
        <v>1009</v>
      </c>
      <c r="C152" s="6" t="s">
        <v>1009</v>
      </c>
      <c r="D152" s="6"/>
      <c r="E152" s="6"/>
      <c r="F152" s="6"/>
      <c r="G152" s="6" t="s">
        <v>1075</v>
      </c>
      <c r="H152" s="6"/>
      <c r="I152" s="6"/>
      <c r="J152" s="6"/>
      <c r="K152" s="6"/>
      <c r="L152" s="6"/>
      <c r="M152" s="6" t="s">
        <v>1076</v>
      </c>
      <c r="N152" s="7" t="s">
        <v>27</v>
      </c>
      <c r="O152" s="7" t="s">
        <v>27</v>
      </c>
      <c r="P152" s="7" t="s">
        <v>27</v>
      </c>
      <c r="Q152" s="7"/>
      <c r="R152" s="7"/>
      <c r="S152" s="6" t="s">
        <v>1077</v>
      </c>
      <c r="T152" s="6" t="s">
        <v>1078</v>
      </c>
      <c r="U152" s="6" t="s">
        <v>1079</v>
      </c>
    </row>
    <row r="153" customFormat="false" ht="359.7" hidden="false" customHeight="false" outlineLevel="0" collapsed="false">
      <c r="A153" s="6" t="n">
        <v>152</v>
      </c>
      <c r="B153" s="6" t="s">
        <v>1009</v>
      </c>
      <c r="C153" s="6" t="s">
        <v>1009</v>
      </c>
      <c r="D153" s="6"/>
      <c r="E153" s="6"/>
      <c r="F153" s="6"/>
      <c r="G153" s="6" t="s">
        <v>1080</v>
      </c>
      <c r="H153" s="6"/>
      <c r="I153" s="6"/>
      <c r="J153" s="6"/>
      <c r="K153" s="6"/>
      <c r="L153" s="6"/>
      <c r="M153" s="6" t="s">
        <v>1081</v>
      </c>
      <c r="N153" s="7" t="s">
        <v>27</v>
      </c>
      <c r="O153" s="7" t="s">
        <v>27</v>
      </c>
      <c r="P153" s="7" t="s">
        <v>27</v>
      </c>
      <c r="Q153" s="7"/>
      <c r="R153" s="7"/>
      <c r="S153" s="6" t="s">
        <v>1082</v>
      </c>
      <c r="T153" s="6" t="s">
        <v>1083</v>
      </c>
      <c r="U153" s="6" t="s">
        <v>1084</v>
      </c>
    </row>
    <row r="154" customFormat="false" ht="292.5" hidden="false" customHeight="false" outlineLevel="0" collapsed="false">
      <c r="A154" s="6" t="n">
        <v>153</v>
      </c>
      <c r="B154" s="6" t="s">
        <v>1009</v>
      </c>
      <c r="C154" s="6" t="s">
        <v>1009</v>
      </c>
      <c r="D154" s="6"/>
      <c r="E154" s="6"/>
      <c r="F154" s="6"/>
      <c r="G154" s="6" t="s">
        <v>1085</v>
      </c>
      <c r="H154" s="6"/>
      <c r="I154" s="6"/>
      <c r="J154" s="6"/>
      <c r="K154" s="6"/>
      <c r="L154" s="6"/>
      <c r="M154" s="6" t="s">
        <v>1086</v>
      </c>
      <c r="N154" s="7" t="s">
        <v>27</v>
      </c>
      <c r="O154" s="7" t="s">
        <v>27</v>
      </c>
      <c r="P154" s="7" t="s">
        <v>27</v>
      </c>
      <c r="Q154" s="7"/>
      <c r="R154" s="7"/>
      <c r="S154" s="6" t="s">
        <v>1087</v>
      </c>
      <c r="T154" s="6" t="s">
        <v>190</v>
      </c>
      <c r="U154" s="6" t="s">
        <v>191</v>
      </c>
    </row>
    <row r="155" customFormat="false" ht="303.7" hidden="false" customHeight="false" outlineLevel="0" collapsed="false">
      <c r="A155" s="6" t="n">
        <v>154</v>
      </c>
      <c r="B155" s="6" t="s">
        <v>1009</v>
      </c>
      <c r="C155" s="6" t="s">
        <v>1009</v>
      </c>
      <c r="D155" s="6"/>
      <c r="E155" s="6"/>
      <c r="F155" s="6"/>
      <c r="G155" s="6" t="s">
        <v>1088</v>
      </c>
      <c r="H155" s="6"/>
      <c r="I155" s="6"/>
      <c r="J155" s="6"/>
      <c r="K155" s="6"/>
      <c r="L155" s="6"/>
      <c r="M155" s="6" t="s">
        <v>1089</v>
      </c>
      <c r="N155" s="7" t="s">
        <v>27</v>
      </c>
      <c r="O155" s="7" t="s">
        <v>27</v>
      </c>
      <c r="P155" s="7" t="s">
        <v>27</v>
      </c>
      <c r="Q155" s="7"/>
      <c r="R155" s="7"/>
      <c r="S155" s="6" t="s">
        <v>1090</v>
      </c>
      <c r="T155" s="6" t="s">
        <v>1091</v>
      </c>
      <c r="U155" s="6" t="s">
        <v>1092</v>
      </c>
    </row>
    <row r="156" customFormat="false" ht="337.3" hidden="false" customHeight="false" outlineLevel="0" collapsed="false">
      <c r="A156" s="6" t="n">
        <v>155</v>
      </c>
      <c r="B156" s="6" t="s">
        <v>1009</v>
      </c>
      <c r="C156" s="6" t="s">
        <v>1009</v>
      </c>
      <c r="D156" s="6"/>
      <c r="E156" s="6"/>
      <c r="F156" s="6"/>
      <c r="G156" s="6" t="s">
        <v>1093</v>
      </c>
      <c r="H156" s="6"/>
      <c r="I156" s="6"/>
      <c r="J156" s="6"/>
      <c r="K156" s="6"/>
      <c r="L156" s="6"/>
      <c r="M156" s="6" t="s">
        <v>1094</v>
      </c>
      <c r="N156" s="7" t="s">
        <v>27</v>
      </c>
      <c r="O156" s="7" t="s">
        <v>27</v>
      </c>
      <c r="P156" s="7" t="s">
        <v>27</v>
      </c>
      <c r="Q156" s="7"/>
      <c r="R156" s="7"/>
      <c r="S156" s="6" t="s">
        <v>1095</v>
      </c>
      <c r="T156" s="6" t="s">
        <v>381</v>
      </c>
      <c r="U156" s="6" t="s">
        <v>382</v>
      </c>
    </row>
  </sheetData>
  <autoFilter ref="A1:U156"/>
  <dataValidations count="4">
    <dataValidation allowBlank="true" errorStyle="stop" operator="between" showDropDown="false" showErrorMessage="false" showInputMessage="false" sqref="N2:N156" type="list">
      <formula1>"Y,N,Partial,NA"</formula1>
      <formula2>0</formula2>
    </dataValidation>
    <dataValidation allowBlank="true" errorStyle="stop" operator="between" showDropDown="false" showErrorMessage="false" showInputMessage="false" sqref="O2:O156" type="list">
      <formula1>"Y,N,NA"</formula1>
      <formula2>0</formula2>
    </dataValidation>
    <dataValidation allowBlank="true" errorStyle="stop" operator="between" showDropDown="false" showErrorMessage="false" showInputMessage="false" sqref="P2:P156" type="list">
      <formula1>"Y,N,NA"</formula1>
      <formula2>0</formula2>
    </dataValidation>
    <dataValidation allowBlank="true" errorStyle="stop" operator="between" showDropDown="false" showErrorMessage="false" showInputMessage="false" sqref="Q2:Q156" type="list">
      <formula1>"Y,N,NA"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8" min="1" style="0" width="16"/>
  </cols>
  <sheetData>
    <row r="1" customFormat="false" ht="15" hidden="false" customHeight="false" outlineLevel="0" collapsed="false">
      <c r="A1" s="8" t="s">
        <v>12</v>
      </c>
      <c r="B1" s="8" t="s">
        <v>1096</v>
      </c>
      <c r="C1" s="8" t="s">
        <v>1097</v>
      </c>
      <c r="D1" s="8" t="s">
        <v>1098</v>
      </c>
      <c r="E1" s="8" t="s">
        <v>1099</v>
      </c>
      <c r="F1" s="8" t="s">
        <v>1100</v>
      </c>
      <c r="G1" s="8" t="s">
        <v>1101</v>
      </c>
      <c r="H1" s="8" t="s">
        <v>1102</v>
      </c>
    </row>
    <row r="2" customFormat="false" ht="15" hidden="false" customHeight="false" outlineLevel="0" collapsed="false">
      <c r="A2" s="2" t="s">
        <v>22</v>
      </c>
      <c r="B2" s="2" t="n">
        <f aca="false">COUNTIF(Validation!$B$2:$B$156,$A2)</f>
        <v>30</v>
      </c>
      <c r="C2" s="2" t="n">
        <f aca="false">COUNTIFS(Validation!$B$2:$B$156,$A2,Validation!$N$2:$N$156,"&lt;&gt;")</f>
        <v>0</v>
      </c>
      <c r="D2" s="2" t="n">
        <f aca="false">COUNTIFS(Validation!$B$2:$B$156,$A2,Validation!$N$2:$N$156,"Y")</f>
        <v>0</v>
      </c>
      <c r="E2" s="9" t="str">
        <f aca="false">IFERROR(D2/(COUNTIFS(Validation!$B$2:$B$156,$A2,Validation!$N$2:$N$156,"&lt;&gt;")-COUNTIFS(Validation!$B$2:$B$156,$A2,Validation!$N$2:$N$156,"NA")),"")</f>
        <v/>
      </c>
      <c r="F2" s="9" t="str">
        <f aca="false">IFERROR(COUNTIFS(Validation!$B$2:$B$156,$A2,Validation!$O$2:$O$156,"Y")/(COUNTIFS(Validation!$B$2:$B$156,$A2,Validation!$O$2:$O$156,"&lt;&gt;")-COUNTIFS(Validation!$B$2:$B$156,$A2,Validation!$O$2:$O$156,"NA")),"")</f>
        <v/>
      </c>
      <c r="G2" s="9" t="str">
        <f aca="false">IFERROR(COUNTIFS(Validation!$B$2:$B$156,$A2,Validation!$P$2:$P$156,"Y")/(COUNTIFS(Validation!$B$2:$B$156,$A2,Validation!$P$2:$P$156,"&lt;&gt;")-COUNTIFS(Validation!$B$2:$B$156,$A2,Validation!$P$2:$P$156,"NA")),"")</f>
        <v/>
      </c>
      <c r="H2" s="9" t="str">
        <f aca="false">IFERROR(COUNTIFS(Validation!$B$2:$B$156,$A2,Validation!$Q$2:$Q$156,"Y")/(COUNTIFS(Validation!$B$2:$B$156,$A2,Validation!$Q$2:$Q$156,"&lt;&gt;")-COUNTIFS(Validation!$B$2:$B$156,$A2,Validation!$Q$2:$Q$156,"NA")),"")</f>
        <v/>
      </c>
    </row>
    <row r="3" customFormat="false" ht="15" hidden="false" customHeight="false" outlineLevel="0" collapsed="false">
      <c r="A3" s="2" t="s">
        <v>265</v>
      </c>
      <c r="B3" s="2" t="n">
        <f aca="false">COUNTIF(Validation!$B$2:$B$156,$A3)</f>
        <v>15</v>
      </c>
      <c r="C3" s="2" t="n">
        <f aca="false">COUNTIFS(Validation!$B$2:$B$156,$A3,Validation!$N$2:$N$156,"&lt;&gt;")</f>
        <v>0</v>
      </c>
      <c r="D3" s="2" t="n">
        <f aca="false">COUNTIFS(Validation!$B$2:$B$156,$A3,Validation!$N$2:$N$156,"Y")</f>
        <v>0</v>
      </c>
      <c r="E3" s="9" t="str">
        <f aca="false">IFERROR(D3/(COUNTIFS(Validation!$B$2:$B$156,$A3,Validation!$N$2:$N$156,"&lt;&gt;")-COUNTIFS(Validation!$B$2:$B$156,$A3,Validation!$N$2:$N$156,"NA")),"")</f>
        <v/>
      </c>
      <c r="F3" s="9" t="str">
        <f aca="false">IFERROR(COUNTIFS(Validation!$B$2:$B$156,$A3,Validation!$O$2:$O$156,"Y")/(COUNTIFS(Validation!$B$2:$B$156,$A3,Validation!$O$2:$O$156,"&lt;&gt;")-COUNTIFS(Validation!$B$2:$B$156,$A3,Validation!$O$2:$O$156,"NA")),"")</f>
        <v/>
      </c>
      <c r="G3" s="9" t="str">
        <f aca="false">IFERROR(COUNTIFS(Validation!$B$2:$B$156,$A3,Validation!$P$2:$P$156,"Y")/(COUNTIFS(Validation!$B$2:$B$156,$A3,Validation!$P$2:$P$156,"&lt;&gt;")-COUNTIFS(Validation!$B$2:$B$156,$A3,Validation!$P$2:$P$156,"NA")),"")</f>
        <v/>
      </c>
      <c r="H3" s="9" t="str">
        <f aca="false">IFERROR(COUNTIFS(Validation!$B$2:$B$156,$A3,Validation!$Q$2:$Q$156,"Y")/(COUNTIFS(Validation!$B$2:$B$156,$A3,Validation!$Q$2:$Q$156,"&lt;&gt;")-COUNTIFS(Validation!$B$2:$B$156,$A3,Validation!$Q$2:$Q$156,"NA")),"")</f>
        <v/>
      </c>
    </row>
    <row r="4" customFormat="false" ht="15" hidden="false" customHeight="false" outlineLevel="0" collapsed="false">
      <c r="A4" s="2" t="s">
        <v>374</v>
      </c>
      <c r="B4" s="2" t="n">
        <f aca="false">COUNTIF(Validation!$B$2:$B$156,$A4)</f>
        <v>15</v>
      </c>
      <c r="C4" s="2" t="n">
        <f aca="false">COUNTIFS(Validation!$B$2:$B$156,$A4,Validation!$N$2:$N$156,"&lt;&gt;")</f>
        <v>0</v>
      </c>
      <c r="D4" s="2" t="n">
        <f aca="false">COUNTIFS(Validation!$B$2:$B$156,$A4,Validation!$N$2:$N$156,"Y")</f>
        <v>0</v>
      </c>
      <c r="E4" s="9" t="str">
        <f aca="false">IFERROR(D4/(COUNTIFS(Validation!$B$2:$B$156,$A4,Validation!$N$2:$N$156,"&lt;&gt;")-COUNTIFS(Validation!$B$2:$B$156,$A4,Validation!$N$2:$N$156,"NA")),"")</f>
        <v/>
      </c>
      <c r="F4" s="9" t="str">
        <f aca="false">IFERROR(COUNTIFS(Validation!$B$2:$B$156,$A4,Validation!$O$2:$O$156,"Y")/(COUNTIFS(Validation!$B$2:$B$156,$A4,Validation!$O$2:$O$156,"&lt;&gt;")-COUNTIFS(Validation!$B$2:$B$156,$A4,Validation!$O$2:$O$156,"NA")),"")</f>
        <v/>
      </c>
      <c r="G4" s="9" t="str">
        <f aca="false">IFERROR(COUNTIFS(Validation!$B$2:$B$156,$A4,Validation!$P$2:$P$156,"Y")/(COUNTIFS(Validation!$B$2:$B$156,$A4,Validation!$P$2:$P$156,"&lt;&gt;")-COUNTIFS(Validation!$B$2:$B$156,$A4,Validation!$P$2:$P$156,"NA")),"")</f>
        <v/>
      </c>
      <c r="H4" s="9" t="str">
        <f aca="false">IFERROR(COUNTIFS(Validation!$B$2:$B$156,$A4,Validation!$Q$2:$Q$156,"Y")/(COUNTIFS(Validation!$B$2:$B$156,$A4,Validation!$Q$2:$Q$156,"&lt;&gt;")-COUNTIFS(Validation!$B$2:$B$156,$A4,Validation!$Q$2:$Q$156,"NA")),"")</f>
        <v/>
      </c>
    </row>
    <row r="5" customFormat="false" ht="15" hidden="false" customHeight="false" outlineLevel="0" collapsed="false">
      <c r="A5" s="2" t="s">
        <v>487</v>
      </c>
      <c r="B5" s="2" t="n">
        <f aca="false">COUNTIF(Validation!$B$2:$B$156,$A5)</f>
        <v>15</v>
      </c>
      <c r="C5" s="2" t="n">
        <f aca="false">COUNTIFS(Validation!$B$2:$B$156,$A5,Validation!$N$2:$N$156,"&lt;&gt;")</f>
        <v>0</v>
      </c>
      <c r="D5" s="2" t="n">
        <f aca="false">COUNTIFS(Validation!$B$2:$B$156,$A5,Validation!$N$2:$N$156,"Y")</f>
        <v>0</v>
      </c>
      <c r="E5" s="9" t="str">
        <f aca="false">IFERROR(D5/(COUNTIFS(Validation!$B$2:$B$156,$A5,Validation!$N$2:$N$156,"&lt;&gt;")-COUNTIFS(Validation!$B$2:$B$156,$A5,Validation!$N$2:$N$156,"NA")),"")</f>
        <v/>
      </c>
      <c r="F5" s="9" t="str">
        <f aca="false">IFERROR(COUNTIFS(Validation!$B$2:$B$156,$A5,Validation!$O$2:$O$156,"Y")/(COUNTIFS(Validation!$B$2:$B$156,$A5,Validation!$O$2:$O$156,"&lt;&gt;")-COUNTIFS(Validation!$B$2:$B$156,$A5,Validation!$O$2:$O$156,"NA")),"")</f>
        <v/>
      </c>
      <c r="G5" s="9" t="str">
        <f aca="false">IFERROR(COUNTIFS(Validation!$B$2:$B$156,$A5,Validation!$P$2:$P$156,"Y")/(COUNTIFS(Validation!$B$2:$B$156,$A5,Validation!$P$2:$P$156,"&lt;&gt;")-COUNTIFS(Validation!$B$2:$B$156,$A5,Validation!$P$2:$P$156,"NA")),"")</f>
        <v/>
      </c>
      <c r="H5" s="9" t="str">
        <f aca="false">IFERROR(COUNTIFS(Validation!$B$2:$B$156,$A5,Validation!$Q$2:$Q$156,"Y")/(COUNTIFS(Validation!$B$2:$B$156,$A5,Validation!$Q$2:$Q$156,"&lt;&gt;")-COUNTIFS(Validation!$B$2:$B$156,$A5,Validation!$Q$2:$Q$156,"NA")),"")</f>
        <v/>
      </c>
    </row>
    <row r="6" customFormat="false" ht="15" hidden="false" customHeight="false" outlineLevel="0" collapsed="false">
      <c r="A6" s="2" t="s">
        <v>606</v>
      </c>
      <c r="B6" s="2" t="n">
        <f aca="false">COUNTIF(Validation!$B$2:$B$156,$A6)</f>
        <v>20</v>
      </c>
      <c r="C6" s="2" t="n">
        <f aca="false">COUNTIFS(Validation!$B$2:$B$156,$A6,Validation!$N$2:$N$156,"&lt;&gt;")</f>
        <v>0</v>
      </c>
      <c r="D6" s="2" t="n">
        <f aca="false">COUNTIFS(Validation!$B$2:$B$156,$A6,Validation!$N$2:$N$156,"Y")</f>
        <v>0</v>
      </c>
      <c r="E6" s="9" t="str">
        <f aca="false">IFERROR(D6/(COUNTIFS(Validation!$B$2:$B$156,$A6,Validation!$N$2:$N$156,"&lt;&gt;")-COUNTIFS(Validation!$B$2:$B$156,$A6,Validation!$N$2:$N$156,"NA")),"")</f>
        <v/>
      </c>
      <c r="F6" s="9" t="str">
        <f aca="false">IFERROR(COUNTIFS(Validation!$B$2:$B$156,$A6,Validation!$O$2:$O$156,"Y")/(COUNTIFS(Validation!$B$2:$B$156,$A6,Validation!$O$2:$O$156,"&lt;&gt;")-COUNTIFS(Validation!$B$2:$B$156,$A6,Validation!$O$2:$O$156,"NA")),"")</f>
        <v/>
      </c>
      <c r="G6" s="9" t="str">
        <f aca="false">IFERROR(COUNTIFS(Validation!$B$2:$B$156,$A6,Validation!$P$2:$P$156,"Y")/(COUNTIFS(Validation!$B$2:$B$156,$A6,Validation!$P$2:$P$156,"&lt;&gt;")-COUNTIFS(Validation!$B$2:$B$156,$A6,Validation!$P$2:$P$156,"NA")),"")</f>
        <v/>
      </c>
      <c r="H6" s="9" t="str">
        <f aca="false">IFERROR(COUNTIFS(Validation!$B$2:$B$156,$A6,Validation!$Q$2:$Q$156,"Y")/(COUNTIFS(Validation!$B$2:$B$156,$A6,Validation!$Q$2:$Q$156,"&lt;&gt;")-COUNTIFS(Validation!$B$2:$B$156,$A6,Validation!$Q$2:$Q$156,"NA")),"")</f>
        <v/>
      </c>
    </row>
    <row r="7" customFormat="false" ht="15" hidden="false" customHeight="false" outlineLevel="0" collapsed="false">
      <c r="A7" s="2" t="s">
        <v>753</v>
      </c>
      <c r="B7" s="2" t="n">
        <f aca="false">COUNTIF(Validation!$B$2:$B$156,$A7)</f>
        <v>15</v>
      </c>
      <c r="C7" s="2" t="n">
        <f aca="false">COUNTIFS(Validation!$B$2:$B$156,$A7,Validation!$N$2:$N$156,"&lt;&gt;")</f>
        <v>0</v>
      </c>
      <c r="D7" s="2" t="n">
        <f aca="false">COUNTIFS(Validation!$B$2:$B$156,$A7,Validation!$N$2:$N$156,"Y")</f>
        <v>0</v>
      </c>
      <c r="E7" s="9" t="str">
        <f aca="false">IFERROR(D7/(COUNTIFS(Validation!$B$2:$B$156,$A7,Validation!$N$2:$N$156,"&lt;&gt;")-COUNTIFS(Validation!$B$2:$B$156,$A7,Validation!$N$2:$N$156,"NA")),"")</f>
        <v/>
      </c>
      <c r="F7" s="9" t="str">
        <f aca="false">IFERROR(COUNTIFS(Validation!$B$2:$B$156,$A7,Validation!$O$2:$O$156,"Y")/(COUNTIFS(Validation!$B$2:$B$156,$A7,Validation!$O$2:$O$156,"&lt;&gt;")-COUNTIFS(Validation!$B$2:$B$156,$A7,Validation!$O$2:$O$156,"NA")),"")</f>
        <v/>
      </c>
      <c r="G7" s="9" t="str">
        <f aca="false">IFERROR(COUNTIFS(Validation!$B$2:$B$156,$A7,Validation!$P$2:$P$156,"Y")/(COUNTIFS(Validation!$B$2:$B$156,$A7,Validation!$P$2:$P$156,"&lt;&gt;")-COUNTIFS(Validation!$B$2:$B$156,$A7,Validation!$P$2:$P$156,"NA")),"")</f>
        <v/>
      </c>
      <c r="H7" s="9" t="str">
        <f aca="false">IFERROR(COUNTIFS(Validation!$B$2:$B$156,$A7,Validation!$Q$2:$Q$156,"Y")/(COUNTIFS(Validation!$B$2:$B$156,$A7,Validation!$Q$2:$Q$156,"&lt;&gt;")-COUNTIFS(Validation!$B$2:$B$156,$A7,Validation!$Q$2:$Q$156,"NA")),"")</f>
        <v/>
      </c>
    </row>
    <row r="8" customFormat="false" ht="15" hidden="false" customHeight="false" outlineLevel="0" collapsed="false">
      <c r="A8" s="2" t="s">
        <v>853</v>
      </c>
      <c r="B8" s="2" t="n">
        <f aca="false">COUNTIF(Validation!$B$2:$B$156,$A8)</f>
        <v>10</v>
      </c>
      <c r="C8" s="2" t="n">
        <f aca="false">COUNTIFS(Validation!$B$2:$B$156,$A8,Validation!$N$2:$N$156,"&lt;&gt;")</f>
        <v>0</v>
      </c>
      <c r="D8" s="2" t="n">
        <f aca="false">COUNTIFS(Validation!$B$2:$B$156,$A8,Validation!$N$2:$N$156,"Y")</f>
        <v>0</v>
      </c>
      <c r="E8" s="9" t="str">
        <f aca="false">IFERROR(D8/(COUNTIFS(Validation!$B$2:$B$156,$A8,Validation!$N$2:$N$156,"&lt;&gt;")-COUNTIFS(Validation!$B$2:$B$156,$A8,Validation!$N$2:$N$156,"NA")),"")</f>
        <v/>
      </c>
      <c r="F8" s="9" t="str">
        <f aca="false">IFERROR(COUNTIFS(Validation!$B$2:$B$156,$A8,Validation!$O$2:$O$156,"Y")/(COUNTIFS(Validation!$B$2:$B$156,$A8,Validation!$O$2:$O$156,"&lt;&gt;")-COUNTIFS(Validation!$B$2:$B$156,$A8,Validation!$O$2:$O$156,"NA")),"")</f>
        <v/>
      </c>
      <c r="G8" s="9" t="str">
        <f aca="false">IFERROR(COUNTIFS(Validation!$B$2:$B$156,$A8,Validation!$P$2:$P$156,"Y")/(COUNTIFS(Validation!$B$2:$B$156,$A8,Validation!$P$2:$P$156,"&lt;&gt;")-COUNTIFS(Validation!$B$2:$B$156,$A8,Validation!$P$2:$P$156,"NA")),"")</f>
        <v/>
      </c>
      <c r="H8" s="9" t="str">
        <f aca="false">IFERROR(COUNTIFS(Validation!$B$2:$B$156,$A8,Validation!$Q$2:$Q$156,"Y")/(COUNTIFS(Validation!$B$2:$B$156,$A8,Validation!$Q$2:$Q$156,"&lt;&gt;")-COUNTIFS(Validation!$B$2:$B$156,$A8,Validation!$Q$2:$Q$156,"NA")),"")</f>
        <v/>
      </c>
    </row>
    <row r="9" customFormat="false" ht="15" hidden="false" customHeight="false" outlineLevel="0" collapsed="false">
      <c r="A9" s="2" t="s">
        <v>926</v>
      </c>
      <c r="B9" s="2" t="n">
        <f aca="false">COUNTIF(Validation!$B$2:$B$156,$A9)</f>
        <v>5</v>
      </c>
      <c r="C9" s="2" t="n">
        <f aca="false">COUNTIFS(Validation!$B$2:$B$156,$A9,Validation!$N$2:$N$156,"&lt;&gt;")</f>
        <v>0</v>
      </c>
      <c r="D9" s="2" t="n">
        <f aca="false">COUNTIFS(Validation!$B$2:$B$156,$A9,Validation!$N$2:$N$156,"Y")</f>
        <v>0</v>
      </c>
      <c r="E9" s="9" t="str">
        <f aca="false">IFERROR(D9/(COUNTIFS(Validation!$B$2:$B$156,$A9,Validation!$N$2:$N$156,"&lt;&gt;")-COUNTIFS(Validation!$B$2:$B$156,$A9,Validation!$N$2:$N$156,"NA")),"")</f>
        <v/>
      </c>
      <c r="F9" s="9" t="str">
        <f aca="false">IFERROR(COUNTIFS(Validation!$B$2:$B$156,$A9,Validation!$O$2:$O$156,"Y")/(COUNTIFS(Validation!$B$2:$B$156,$A9,Validation!$O$2:$O$156,"&lt;&gt;")-COUNTIFS(Validation!$B$2:$B$156,$A9,Validation!$O$2:$O$156,"NA")),"")</f>
        <v/>
      </c>
      <c r="G9" s="9" t="str">
        <f aca="false">IFERROR(COUNTIFS(Validation!$B$2:$B$156,$A9,Validation!$P$2:$P$156,"Y")/(COUNTIFS(Validation!$B$2:$B$156,$A9,Validation!$P$2:$P$156,"&lt;&gt;")-COUNTIFS(Validation!$B$2:$B$156,$A9,Validation!$P$2:$P$156,"NA")),"")</f>
        <v/>
      </c>
      <c r="H9" s="9" t="str">
        <f aca="false">IFERROR(COUNTIFS(Validation!$B$2:$B$156,$A9,Validation!$Q$2:$Q$156,"Y")/(COUNTIFS(Validation!$B$2:$B$156,$A9,Validation!$Q$2:$Q$156,"&lt;&gt;")-COUNTIFS(Validation!$B$2:$B$156,$A9,Validation!$Q$2:$Q$156,"NA")),"")</f>
        <v/>
      </c>
    </row>
    <row r="10" customFormat="false" ht="15" hidden="false" customHeight="false" outlineLevel="0" collapsed="false">
      <c r="A10" s="2" t="s">
        <v>479</v>
      </c>
      <c r="B10" s="2" t="n">
        <f aca="false">COUNTIF(Validation!$B$2:$B$156,$A10)</f>
        <v>5</v>
      </c>
      <c r="C10" s="2" t="n">
        <f aca="false">COUNTIFS(Validation!$B$2:$B$156,$A10,Validation!$N$2:$N$156,"&lt;&gt;")</f>
        <v>0</v>
      </c>
      <c r="D10" s="2" t="n">
        <f aca="false">COUNTIFS(Validation!$B$2:$B$156,$A10,Validation!$N$2:$N$156,"Y")</f>
        <v>0</v>
      </c>
      <c r="E10" s="9" t="str">
        <f aca="false">IFERROR(D10/(COUNTIFS(Validation!$B$2:$B$156,$A10,Validation!$N$2:$N$156,"&lt;&gt;")-COUNTIFS(Validation!$B$2:$B$156,$A10,Validation!$N$2:$N$156,"NA")),"")</f>
        <v/>
      </c>
      <c r="F10" s="9" t="str">
        <f aca="false">IFERROR(COUNTIFS(Validation!$B$2:$B$156,$A10,Validation!$O$2:$O$156,"Y")/(COUNTIFS(Validation!$B$2:$B$156,$A10,Validation!$O$2:$O$156,"&lt;&gt;")-COUNTIFS(Validation!$B$2:$B$156,$A10,Validation!$O$2:$O$156,"NA")),"")</f>
        <v/>
      </c>
      <c r="G10" s="9" t="str">
        <f aca="false">IFERROR(COUNTIFS(Validation!$B$2:$B$156,$A10,Validation!$P$2:$P$156,"Y")/(COUNTIFS(Validation!$B$2:$B$156,$A10,Validation!$P$2:$P$156,"&lt;&gt;")-COUNTIFS(Validation!$B$2:$B$156,$A10,Validation!$P$2:$P$156,"NA")),"")</f>
        <v/>
      </c>
      <c r="H10" s="9" t="str">
        <f aca="false">IFERROR(COUNTIFS(Validation!$B$2:$B$156,$A10,Validation!$Q$2:$Q$156,"Y")/(COUNTIFS(Validation!$B$2:$B$156,$A10,Validation!$Q$2:$Q$156,"&lt;&gt;")-COUNTIFS(Validation!$B$2:$B$156,$A10,Validation!$Q$2:$Q$156,"NA")),"")</f>
        <v/>
      </c>
    </row>
    <row r="11" customFormat="false" ht="15" hidden="false" customHeight="false" outlineLevel="0" collapsed="false">
      <c r="A11" s="2" t="s">
        <v>567</v>
      </c>
      <c r="B11" s="2" t="n">
        <f aca="false">COUNTIF(Validation!$B$2:$B$156,$A11)</f>
        <v>5</v>
      </c>
      <c r="C11" s="2" t="n">
        <f aca="false">COUNTIFS(Validation!$B$2:$B$156,$A11,Validation!$N$2:$N$156,"&lt;&gt;")</f>
        <v>0</v>
      </c>
      <c r="D11" s="2" t="n">
        <f aca="false">COUNTIFS(Validation!$B$2:$B$156,$A11,Validation!$N$2:$N$156,"Y")</f>
        <v>0</v>
      </c>
      <c r="E11" s="9" t="str">
        <f aca="false">IFERROR(D11/(COUNTIFS(Validation!$B$2:$B$156,$A11,Validation!$N$2:$N$156,"&lt;&gt;")-COUNTIFS(Validation!$B$2:$B$156,$A11,Validation!$N$2:$N$156,"NA")),"")</f>
        <v/>
      </c>
      <c r="F11" s="9" t="str">
        <f aca="false">IFERROR(COUNTIFS(Validation!$B$2:$B$156,$A11,Validation!$O$2:$O$156,"Y")/(COUNTIFS(Validation!$B$2:$B$156,$A11,Validation!$O$2:$O$156,"&lt;&gt;")-COUNTIFS(Validation!$B$2:$B$156,$A11,Validation!$O$2:$O$156,"NA")),"")</f>
        <v/>
      </c>
      <c r="G11" s="9" t="str">
        <f aca="false">IFERROR(COUNTIFS(Validation!$B$2:$B$156,$A11,Validation!$P$2:$P$156,"Y")/(COUNTIFS(Validation!$B$2:$B$156,$A11,Validation!$P$2:$P$156,"&lt;&gt;")-COUNTIFS(Validation!$B$2:$B$156,$A11,Validation!$P$2:$P$156,"NA")),"")</f>
        <v/>
      </c>
      <c r="H11" s="9" t="str">
        <f aca="false">IFERROR(COUNTIFS(Validation!$B$2:$B$156,$A11,Validation!$Q$2:$Q$156,"Y")/(COUNTIFS(Validation!$B$2:$B$156,$A11,Validation!$Q$2:$Q$156,"&lt;&gt;")-COUNTIFS(Validation!$B$2:$B$156,$A11,Validation!$Q$2:$Q$156,"NA")),"")</f>
        <v/>
      </c>
    </row>
    <row r="12" customFormat="false" ht="15" hidden="false" customHeight="false" outlineLevel="0" collapsed="false">
      <c r="A12" s="2" t="s">
        <v>1009</v>
      </c>
      <c r="B12" s="2" t="n">
        <f aca="false">COUNTIF(Validation!$B$2:$B$156,$A12)</f>
        <v>20</v>
      </c>
      <c r="C12" s="2" t="n">
        <f aca="false">COUNTIFS(Validation!$B$2:$B$156,$A12,Validation!$N$2:$N$156,"&lt;&gt;")</f>
        <v>20</v>
      </c>
      <c r="D12" s="2" t="n">
        <f aca="false">COUNTIFS(Validation!$B$2:$B$156,$A12,Validation!$N$2:$N$156,"Y")</f>
        <v>0</v>
      </c>
      <c r="E12" s="9" t="str">
        <f aca="false">IFERROR(D12/(COUNTIFS(Validation!$B$2:$B$156,$A12,Validation!$N$2:$N$156,"&lt;&gt;")-COUNTIFS(Validation!$B$2:$B$156,$A12,Validation!$N$2:$N$156,"NA")),"")</f>
        <v/>
      </c>
      <c r="F12" s="9" t="str">
        <f aca="false">IFERROR(COUNTIFS(Validation!$B$2:$B$156,$A12,Validation!$O$2:$O$156,"Y")/(COUNTIFS(Validation!$B$2:$B$156,$A12,Validation!$O$2:$O$156,"&lt;&gt;")-COUNTIFS(Validation!$B$2:$B$156,$A12,Validation!$O$2:$O$156,"NA")),"")</f>
        <v/>
      </c>
      <c r="G12" s="9" t="str">
        <f aca="false">IFERROR(COUNTIFS(Validation!$B$2:$B$156,$A12,Validation!$P$2:$P$156,"Y")/(COUNTIFS(Validation!$B$2:$B$156,$A12,Validation!$P$2:$P$156,"&lt;&gt;")-COUNTIFS(Validation!$B$2:$B$156,$A12,Validation!$P$2:$P$156,"NA")),"")</f>
        <v/>
      </c>
      <c r="H12" s="9" t="str">
        <f aca="false">IFERROR(COUNTIFS(Validation!$B$2:$B$156,$A12,Validation!$Q$2:$Q$156,"Y")/(COUNTIFS(Validation!$B$2:$B$156,$A12,Validation!$Q$2:$Q$156,"&lt;&gt;")-COUNTIFS(Validation!$B$2:$B$156,$A12,Validation!$Q$2:$Q$156,"NA")),"")</f>
        <v/>
      </c>
    </row>
    <row r="13" customFormat="false" ht="15" hidden="false" customHeight="false" outlineLevel="0" collapsed="false">
      <c r="A13" s="1" t="s">
        <v>1103</v>
      </c>
      <c r="B13" s="2" t="n">
        <f aca="false">COUNTIF(Validation!$B$2:$B$156,"*")</f>
        <v>155</v>
      </c>
      <c r="C13" s="2" t="n">
        <f aca="false">COUNTIFS(Validation!$B$2:$B$156,"*",Validation!$N$2:$N$156,"&lt;&gt;")</f>
        <v>20</v>
      </c>
      <c r="D13" s="2" t="n">
        <f aca="false">COUNTIFS(Validation!$B$2:$B$156,"*",Validation!$N$2:$N$156,"Y")</f>
        <v>0</v>
      </c>
      <c r="E13" s="9" t="str">
        <f aca="false">IFERROR(D13/(COUNTIFS(Validation!$B$2:$B$156,"*",Validation!$N$2:$N$156,"&lt;&gt;")-COUNTIFS(Validation!$B$2:$B$156,"*",Validation!$N$2:$N$156,"NA")),"")</f>
        <v/>
      </c>
      <c r="F13" s="9" t="str">
        <f aca="false">IFERROR(COUNTIFS(Validation!$B$2:$B$156,"*",Validation!$O$2:$O$156,"Y")/(COUNTIFS(Validation!$B$2:$B$156,"*",Validation!$O$2:$O$156,"&lt;&gt;")-COUNTIFS(Validation!$B$2:$B$156,"*",Validation!$O$2:$O$156,"NA")),"")</f>
        <v/>
      </c>
      <c r="G13" s="9" t="str">
        <f aca="false">IFERROR(COUNTIFS(Validation!$B$2:$B$156,"*",Validation!$P$2:$P$156,"Y")/(COUNTIFS(Validation!$B$2:$B$156,"*",Validation!$P$2:$P$156,"&lt;&gt;")-COUNTIFS(Validation!$B$2:$B$156,"*",Validation!$P$2:$P$156,"NA")),"")</f>
        <v/>
      </c>
      <c r="H13" s="9" t="str">
        <f aca="false">IFERROR(COUNTIFS(Validation!$B$2:$B$156,"*",Validation!$Q$2:$Q$156,"Y")/(COUNTIFS(Validation!$B$2:$B$156,"*",Validation!$Q$2:$Q$156,"&lt;&gt;")-COUNTIFS(Validation!$B$2:$B$156,"*",Validation!$Q$2:$Q$156,"NA")),"")</f>
        <v/>
      </c>
    </row>
    <row r="15" customFormat="false" ht="15" hidden="false" customHeight="false" outlineLevel="0" collapsed="false">
      <c r="A15" s="10" t="s">
        <v>1104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LibreOffice/25.8.2.2$MacOSX_AARCH64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2026-10-12T18:56:54Z</dcterms:created>
  <dc:creator>openpyxl</dc:creator>
  <dc:description/>
  <dc:language>en-US</dc:language>
  <cp:lastModifiedBy/>
  <dcterms:modified xsi:type="dcterms:W3CDTF">2026-10-12T18:56:54Z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