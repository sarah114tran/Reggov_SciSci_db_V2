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Validation" sheetId="2" state="visible" r:id="rId2"/>
    <sheet name="Summary" sheetId="3" state="visible" r:id="rId3"/>
  </sheets>
  <definedNames>
    <definedName name="_xlnm._FilterDatabase" localSheetId="1" hidden="1">'Validation'!$A$1:$O$61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sz val="10"/>
    </font>
    <font>
      <name val="Arial"/>
      <sz val="10"/>
    </font>
    <font>
      <name val="Arial"/>
      <i val="1"/>
      <sz val="9"/>
    </font>
  </fonts>
  <fills count="4">
    <fill>
      <patternFill/>
    </fill>
    <fill>
      <patternFill patternType="gray125"/>
    </fill>
    <fill>
      <patternFill patternType="solid">
        <fgColor rgb="00D9D9D9"/>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1" fillId="2" borderId="1" applyAlignment="1" pivotButton="0" quotePrefix="0" xfId="0">
      <alignment vertical="top" wrapText="1"/>
    </xf>
    <xf numFmtId="0" fontId="1" fillId="3"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1" fillId="2" borderId="0" pivotButton="0" quotePrefix="0" xfId="0"/>
    <xf numFmtId="164"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60" customWidth="1" min="1" max="1"/>
  </cols>
  <sheetData>
    <row r="1">
      <c r="A1" s="1" t="inlineStr">
        <is>
          <t>Bibliography de-duplication — validation set</t>
        </is>
      </c>
    </row>
    <row r="2">
      <c r="A2" s="2" t="inlineStr">
        <is>
          <t>60 of 577 confident duplicates (seed 20261015; ≤2 per comment per stratum).</t>
        </is>
      </c>
    </row>
    <row r="3">
      <c r="A3" s="2" t="inlineStr">
        <is>
          <t>Each row pairs an unmatched_bibliography entry (no citation sentence) with the cited row of the same comment it was matched to. If the match is right, the bibliography row is redundant and can be dropped (after copying its fuller reference text onto the cited row).</t>
        </is>
      </c>
    </row>
    <row r="4">
      <c r="A4" s="2" t="inlineStr"/>
    </row>
    <row r="5">
      <c r="A5" s="1" t="inlineStr">
        <is>
          <t>Strata (sampled / pool):</t>
        </is>
      </c>
    </row>
    <row r="6">
      <c r="A6" s="2" t="inlineStr">
        <is>
          <t xml:space="preserve">   url_full_ref: 20 / 427 — full bibliography entry; shares a URL with a cited reference</t>
        </is>
      </c>
    </row>
    <row r="7">
      <c r="A7" s="2" t="inlineStr">
        <is>
          <t xml:space="preserve">   url_bare: 10 / 66 — bare URL entry; same URL as a cited reference</t>
        </is>
      </c>
    </row>
    <row r="8">
      <c r="A8" s="2" t="inlineStr">
        <is>
          <t xml:space="preserve">   text_short_form: 15 / 32 — text match where one side is a short form (author–year / short title)</t>
        </is>
      </c>
    </row>
    <row r="9">
      <c r="A9" s="2" t="inlineStr">
        <is>
          <t xml:space="preserve">   text_full: 15 / 52 — text match between two full references</t>
        </is>
      </c>
    </row>
    <row r="10">
      <c r="A10" s="2" t="inlineStr"/>
    </row>
    <row r="11">
      <c r="A11" s="1" t="inlineStr">
        <is>
          <t>Labels (yellow columns):</t>
        </is>
      </c>
    </row>
    <row r="12">
      <c r="A12" s="2" t="inlineStr">
        <is>
          <t xml:space="preserve">   same_work — do the bibliography entry and the matched reference point to the same work (same paper / report / page; a different edition, version or chapter counts as N)?  Y · N · Unsure</t>
        </is>
      </c>
    </row>
    <row r="13">
      <c r="A13" s="2" t="inlineStr">
        <is>
          <t xml:space="preserve">   pairing_ok — does the matched citation_sentence actually cite that work? N means the cited row is itself mis-paired, so dropping the bibliography row would lose the work.  Y · N · NA (no sentence to judge)</t>
        </is>
      </c>
    </row>
    <row r="14">
      <c r="A14" s="2" t="inlineStr"/>
    </row>
    <row r="15">
      <c r="A15" s="2" t="inlineStr">
        <is>
          <t>Regenerate with: venv/bin/python -m validation.make_bib_dedup_sample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7" customWidth="1" min="3" max="3"/>
    <col width="30" customWidth="1" min="4" max="4"/>
    <col width="50" customWidth="1" min="5" max="5"/>
    <col width="25" customWidth="1" min="6" max="6"/>
    <col width="45" customWidth="1" min="7" max="7"/>
    <col width="45" customWidth="1" min="8" max="8"/>
    <col width="25" customWidth="1" min="9" max="9"/>
    <col width="10" customWidth="1" min="10" max="10"/>
    <col width="10" customWidth="1" min="11" max="11"/>
    <col width="30" customWidth="1" min="12" max="12"/>
    <col width="38" customWidth="1" min="13" max="13"/>
    <col width="38" customWidth="1" min="14" max="14"/>
    <col width="22" customWidth="1" min="15" max="15"/>
  </cols>
  <sheetData>
    <row r="1">
      <c r="A1" s="3" t="inlineStr">
        <is>
          <t>val_id</t>
        </is>
      </c>
      <c r="B1" s="3" t="inlineStr">
        <is>
          <t>stratum</t>
        </is>
      </c>
      <c r="C1" s="3" t="inlineStr">
        <is>
          <t>score</t>
        </is>
      </c>
      <c r="D1" s="3" t="inlineStr">
        <is>
          <t>shared_url</t>
        </is>
      </c>
      <c r="E1" s="3" t="inlineStr">
        <is>
          <t>bibliography entry (empty_sentence row)</t>
        </is>
      </c>
      <c r="F1" s="3" t="inlineStr">
        <is>
          <t>bib link</t>
        </is>
      </c>
      <c r="G1" s="3" t="inlineStr">
        <is>
          <t>matched: citation_sentence (LLM)</t>
        </is>
      </c>
      <c r="H1" s="3" t="inlineStr">
        <is>
          <t>matched: reference / footnote</t>
        </is>
      </c>
      <c r="I1" s="3" t="inlineStr">
        <is>
          <t>matched link</t>
        </is>
      </c>
      <c r="J1" s="4" t="inlineStr">
        <is>
          <t>same_work</t>
        </is>
      </c>
      <c r="K1" s="4" t="inlineStr">
        <is>
          <t>pairing_ok</t>
        </is>
      </c>
      <c r="L1" s="4" t="inlineStr">
        <is>
          <t>notes</t>
        </is>
      </c>
      <c r="M1" s="3" t="inlineStr">
        <is>
          <t>bib_citation_id</t>
        </is>
      </c>
      <c r="N1" s="3" t="inlineStr">
        <is>
          <t>matched_citation_id</t>
        </is>
      </c>
      <c r="O1" s="3" t="inlineStr">
        <is>
          <t>comment_id</t>
        </is>
      </c>
    </row>
    <row r="2">
      <c r="A2" s="5" t="n">
        <v>1</v>
      </c>
      <c r="B2" s="5" t="inlineStr">
        <is>
          <t>url_full_ref</t>
        </is>
      </c>
      <c r="C2" s="5" t="n">
        <v>100</v>
      </c>
      <c r="D2" s="5" t="inlineStr">
        <is>
          <t>www.404media.co/chinese-ai-video-generators-unleash-a-flood-of-new-nonconsensual-porn-3</t>
        </is>
      </c>
      <c r="E2" s="5" t="inlineStr">
        <is>
          <t>Emanuel Maiberg "Chinese AI Video Generators Unleash a Flood of New Nonconsensual Porn." 404 Media 6 Mar, 2025 *[https://www.404media.co/chinese-ai-video-generators-unleash-a-flood](https://www.404media.co/chinese-ai-video-generators-unleash-a-flood-of-new-nonconsensual-porn-3/)[of-new-nonconsensual-porn-3/](https://www.404media.co/chinese-ai-video-generators-unleash-a-flood-of-new-nonconsensual-porn-3/)*</t>
        </is>
      </c>
      <c r="F2" s="5" t="inlineStr">
        <is>
          <t>https://www.404media.co/chinese-ai-video-generators-unleash-a-flood](https://www.404media.co/chinese-ai-video-generators-unleash-a-flood-of-new-nonconsensual-porn-3/)[of-new-nonconsensual-porn-3/</t>
        </is>
      </c>
      <c r="G2" s="5" t="inlineStr">
        <is>
          <t>To make matters worse, China rolls out an Ai that generates pornographic videos of anyone by simply using their picture.</t>
        </is>
      </c>
      <c r="H2" s="5" t="inlineStr"/>
      <c r="I2" s="5" t="inlineStr">
        <is>
          <t>https://www.404media.co/chinese-ai-video-generators-unleash-a-flood-of-new-nonconsensual-porn-3/</t>
        </is>
      </c>
      <c r="J2" s="6" t="n"/>
      <c r="K2" s="6" t="n"/>
      <c r="L2" s="6" t="n"/>
      <c r="M2" s="5" t="inlineStr">
        <is>
          <t>4f336fd8-0d15-59fe-a39c-bca3a9d99d67</t>
        </is>
      </c>
      <c r="N2" s="5" t="inlineStr">
        <is>
          <t>331205c0-1c4a-558e-a76e-c9087a011ef3</t>
        </is>
      </c>
      <c r="O2" s="5" t="inlineStr">
        <is>
          <t>AI-RFI-2025-9559</t>
        </is>
      </c>
    </row>
    <row r="3">
      <c r="A3" s="5" t="n">
        <v>2</v>
      </c>
      <c r="B3" s="5" t="inlineStr">
        <is>
          <t>url_full_ref</t>
        </is>
      </c>
      <c r="C3" s="5" t="n">
        <v>100</v>
      </c>
      <c r="D3" s="5" t="inlineStr">
        <is>
          <t>www.ibm.com/topics/iaas</t>
        </is>
      </c>
      <c r="E3" s="5" t="inlineStr">
        <is>
          <t>"What Is Infrastructure as a Service? | IBM," n.d., [https://www.ibm.com/topics/iaas.](https://www.ibm.com/topics/iaas)</t>
        </is>
      </c>
      <c r="F3" s="5" t="inlineStr">
        <is>
          <t>https://www.ibm.com/topics/iaas.</t>
        </is>
      </c>
      <c r="G3" s="5" t="inlineStr">
        <is>
          <t>These resources are offered for rent or lease, including on a pay-as-you-go basis, without having to assume the direct maintenance and operating costs of those servers.1</t>
        </is>
      </c>
      <c r="H3" s="5" t="inlineStr">
        <is>
          <t>[footnote] "What Is Infrastructure as a Service? | IBM," n.d., [https://www.ibm.com/topics/iaas.](https://www.ibm.com/topics/iaas)</t>
        </is>
      </c>
      <c r="I3" s="5" t="inlineStr">
        <is>
          <t>https://www.ibm.com/topics/iaas.</t>
        </is>
      </c>
      <c r="J3" s="6" t="n"/>
      <c r="K3" s="6" t="n"/>
      <c r="L3" s="6" t="n"/>
      <c r="M3" s="5" t="inlineStr">
        <is>
          <t>b7cd25a7-81e8-55e4-991b-ddfe8b1139b7</t>
        </is>
      </c>
      <c r="N3" s="5" t="inlineStr">
        <is>
          <t>7b54d593-2d8f-59d5-a171-24bf83d22e25</t>
        </is>
      </c>
      <c r="O3" s="5" t="inlineStr">
        <is>
          <t>DOC-2021-0007-0522</t>
        </is>
      </c>
    </row>
    <row r="4">
      <c r="A4" s="5" t="n">
        <v>3</v>
      </c>
      <c r="B4" s="5" t="inlineStr">
        <is>
          <t>url_full_ref</t>
        </is>
      </c>
      <c r="C4" s="5" t="n">
        <v>100</v>
      </c>
      <c r="D4" s="5" t="inlineStr">
        <is>
          <t>www.thepolicycircle.org/briefs/the-creative-economy/</t>
        </is>
      </c>
      <c r="E4" s="5" t="inlineStr">
        <is>
          <t>Policy Circle Brief, "The Creative Economy." The Policy Circle, *[https://www.thepolicycircle.org/briefs/the-creative](https://www.thepolicycircle.org/briefs/the-creative-economy/#:~:text=In%20the%20U.S.,arts%20and,state)[economy/#:~:text=In%20the%20U.S.,arts%20and,state's%20creative%20economy%20](https://www.thepolicycircle.org/briefs/the-creative-economy/#:~:text=In%20the%20U.S.,arts%20and,state) [profile%20here](https://www.thepolicycircle.org/briefs/the-creative-economy/#:~:text=In%20the%20U.S.,arts%20and,state)*</t>
        </is>
      </c>
      <c r="F4" s="5" t="inlineStr">
        <is>
          <t>https://www.thepolicycircle.org/briefs/the-creative](https://www.thepolicycircle.org/briefs/the-creative-economy/#:~:text=In%20the%20U.S.,arts%20and,state)[economy/#:~:text=In%20the%20U.S.,arts%20and,state's%20creative%20economy%20</t>
        </is>
      </c>
      <c r="G4" s="5" t="inlineStr">
        <is>
          <t>The Creative Industries alone bring in around 1.10 trillion annually to America's Economy.</t>
        </is>
      </c>
      <c r="H4" s="5" t="inlineStr"/>
      <c r="I4" s="5" t="inlineStr">
        <is>
          <t>https://www.thepolicycircle.org/briefs/the-creative-economy/#:~:text=In%20the%20U.S.,arts%20and,state</t>
        </is>
      </c>
      <c r="J4" s="6" t="n"/>
      <c r="K4" s="6" t="n"/>
      <c r="L4" s="6" t="n"/>
      <c r="M4" s="5" t="inlineStr">
        <is>
          <t>5440398f-d9de-58e0-89a7-742afbf3fd95</t>
        </is>
      </c>
      <c r="N4" s="5" t="inlineStr">
        <is>
          <t>4332c4b7-a04b-5911-8ff5-5ad3b3d1e393</t>
        </is>
      </c>
      <c r="O4" s="5" t="inlineStr">
        <is>
          <t>AI-RFI-2025-9559</t>
        </is>
      </c>
    </row>
    <row r="5">
      <c r="A5" s="5" t="n">
        <v>4</v>
      </c>
      <c r="B5" s="5" t="inlineStr">
        <is>
          <t>url_full_ref</t>
        </is>
      </c>
      <c r="C5" s="5" t="n">
        <v>100</v>
      </c>
      <c r="D5" s="5" t="inlineStr">
        <is>
          <t>www.alignmentforum.org/posts/zwshvqiqcvxpszect/the-learning-theoretic-agenda-status-2023</t>
        </is>
      </c>
      <c r="E5" s="5" t="inlineStr">
        <is>
          <t>Kosoy, V. (2023). The Learning-Theoretic Agenda: Status 2023 [https://www.](https://www.alignmentforum.org/posts/ZwshvqiqCvXPsZEct/the-learning-theoretic-agenda-status-2023) [alignmentforum.org/posts/ZwshvqiqCvXPsZEct/the-learning-theoretic-agenda](https://www.alignmentforum.org/posts/ZwshvqiqCvXPsZEct/the-learning-theoretic-agenda-status-2023)[status-2023](https://www.alignmentforum.org/posts/ZwshvqiqCvXPsZEct/the-learning-theoretic-agenda-status-2023)</t>
        </is>
      </c>
      <c r="F5" s="5" t="inlineStr">
        <is>
          <t>https://www.alignmentforum.org/posts/ZwshvqiqCvXPsZEct/the-learning-theoretic-agenda-status-2023</t>
        </is>
      </c>
      <c r="G5" s="5" t="inlineStr">
        <is>
          <t>Examples include approaches focused on mathematical proofs (e.g., Dalrymple, 2023), infra-bayesian physicalism (Kosoy, 2023), and proof-carrying code (Tegmark &amp; Omohundro, 2023).</t>
        </is>
      </c>
      <c r="H5" s="5" t="inlineStr">
        <is>
          <t>[reference] Kosoy, V. (2023). The Learning-Theoretic Agenda: Status 2023 https://www.alignmentforum.org/posts/ZwshvqiqCvXPsZEct/the-learning-theoretic-agenda-status-2023</t>
        </is>
      </c>
      <c r="I5" s="5" t="inlineStr">
        <is>
          <t>https://www.alignmentforum.org/posts/ZwshvqiqCvXPsZEct/the-learning-theoretic-agenda-status-2023</t>
        </is>
      </c>
      <c r="J5" s="6" t="n"/>
      <c r="K5" s="6" t="n"/>
      <c r="L5" s="6" t="n"/>
      <c r="M5" s="5" t="inlineStr">
        <is>
          <t>df62d654-e2a0-5efa-a8ff-cce14c2fdf09</t>
        </is>
      </c>
      <c r="N5" s="5" t="inlineStr">
        <is>
          <t>47459b45-d139-5372-bda9-bf6f055c6390</t>
        </is>
      </c>
      <c r="O5" s="5" t="inlineStr">
        <is>
          <t>NIST-2023-0009-0173</t>
        </is>
      </c>
    </row>
    <row r="6">
      <c r="A6" s="5" t="n">
        <v>5</v>
      </c>
      <c r="B6" s="5" t="inlineStr">
        <is>
          <t>url_full_ref</t>
        </is>
      </c>
      <c r="C6" s="5" t="n">
        <v>100</v>
      </c>
      <c r="D6" s="5" t="inlineStr">
        <is>
          <t>cheatsheetseries.owasp.org/cheatsheets/abuse_case_cheat_sheet.html</t>
        </is>
      </c>
      <c r="E6" s="5" t="inlineStr">
        <is>
          <t>OWASP (2021) Abuse Case Cheat Sheet. OWASP, https://cheatsheetseries.owasp.org/cheatsheets/Abuse_Case_Cheat_Sheet.html</t>
        </is>
      </c>
      <c r="F6" s="5" t="inlineStr">
        <is>
          <t>https://cheatsheetseries.owasp.org/cheatsheets/Abuse_Case_Cheat_Sheet.html</t>
        </is>
      </c>
      <c r="G6" s="5" t="inlineStr">
        <is>
          <t>OWASP (2021) Abuse Case Cheat Sheet. OWASP, https://cheatsheetseries.owasp.org/cheatsheets/Abuse_Case_Cheat_Sheet.html</t>
        </is>
      </c>
      <c r="H6" s="5" t="inlineStr"/>
      <c r="I6" s="5" t="inlineStr">
        <is>
          <t>https://cheatsheetseries.owasp.org/cheatsheets/Abuse_Case_Cheat_Sheet.html</t>
        </is>
      </c>
      <c r="J6" s="6" t="n"/>
      <c r="K6" s="6" t="n"/>
      <c r="L6" s="6" t="n"/>
      <c r="M6" s="5" t="inlineStr">
        <is>
          <t>ca21fb92-87b7-57fb-b81d-4a30a6ca6b0f</t>
        </is>
      </c>
      <c r="N6" s="5" t="inlineStr">
        <is>
          <t>f268994a-896b-5cd7-a60e-22c15da9e929</t>
        </is>
      </c>
      <c r="O6" s="5" t="inlineStr">
        <is>
          <t>NIST-2021-0004-0123</t>
        </is>
      </c>
    </row>
    <row r="7">
      <c r="A7" s="5" t="n">
        <v>6</v>
      </c>
      <c r="B7" s="5" t="inlineStr">
        <is>
          <t>url_full_ref</t>
        </is>
      </c>
      <c r="C7" s="5" t="n">
        <v>100</v>
      </c>
      <c r="D7" s="5" t="inlineStr">
        <is>
          <t>www.unido.org/news/unido-scales-development-dialogues-4ir-strategic-framework</t>
        </is>
      </c>
      <c r="E7" s="5" t="inlineStr">
        <is>
          <t>- *UNIDO scales up Development Dialogues on the 4IR Strategic Framework | UNIDO*. (n.d.). Retrieved May 27, 2023, from &lt;https://www.unido.org/news/unido-scales-development-dialogues-4ir-strategic-framework&gt;</t>
        </is>
      </c>
      <c r="F7" s="5" t="inlineStr">
        <is>
          <t>https://www.unido.org/news/unido-scales-development-dialogues-4ir-strategic-framework</t>
        </is>
      </c>
      <c r="G7" s="5" t="inlineStr">
        <is>
          <t>We are on the brink of a new era dominated by artificial intelligence (AI), commonly referred to as the 4th Industrial Revolution [UNIDO, 2020).</t>
        </is>
      </c>
      <c r="H7" s="5" t="inlineStr"/>
      <c r="I7" s="5" t="inlineStr">
        <is>
          <t>https://www.unido.org/news/unido-scales-development-dialogues-4ir-strategic-framework</t>
        </is>
      </c>
      <c r="J7" s="6" t="n"/>
      <c r="K7" s="6" t="n"/>
      <c r="L7" s="6" t="n"/>
      <c r="M7" s="5" t="inlineStr">
        <is>
          <t>e7ba3566-15ac-57b5-b90c-7674097eb3ea</t>
        </is>
      </c>
      <c r="N7" s="5" t="inlineStr">
        <is>
          <t>138c3a20-9276-5363-a466-0b24147c1d89</t>
        </is>
      </c>
      <c r="O7" s="5" t="inlineStr">
        <is>
          <t>NTIA-2023-0005-0626</t>
        </is>
      </c>
    </row>
    <row r="8">
      <c r="A8" s="5" t="n">
        <v>7</v>
      </c>
      <c r="B8" s="5" t="inlineStr">
        <is>
          <t>url_full_ref</t>
        </is>
      </c>
      <c r="C8" s="5" t="n">
        <v>100</v>
      </c>
      <c r="D8" s="5" t="inlineStr">
        <is>
          <t>www.gao.gov/products/gao-20-574</t>
        </is>
      </c>
      <c r="E8" s="5" t="inlineStr">
        <is>
          <t>U.S. Government Accountability Office. "Anti-Money Laundering: Opportunities Exist to Increase Law Enforcement Use of Bank Secrecy Act Reports, and Banks' Costs to Comply With the Act Varied," October 6, 2020. [https://www.gao.gov/products/gao-20-574.](https://www.gao.gov/products/gao-20-574)</t>
        </is>
      </c>
      <c r="F8" s="5" t="inlineStr">
        <is>
          <t>https://www.gao.gov/products/gao-20-574.</t>
        </is>
      </c>
      <c r="G8" s="5" t="inlineStr">
        <is>
          <t>A recent review of a sample of banks conducted by the Government Accountability Office determined that the total direct costs for complying with the BSA ranged from about $14,000 to about $21 million in 2018.8</t>
        </is>
      </c>
      <c r="H8" s="5" t="inlineStr">
        <is>
          <t>[footnote] U.S. Government Accountability Office, "Anti-Money Laundering: Opportunities Exist to Increase Law Enforcement Use of Bank Secrecy Act Reports, and Banks' Costs to Comply With the Act Varied," GAO-20-574 (October 6, 2020) 36, accessed April 24, 2024. [https://www.gao.gov/products/gao-20-574.](https://www.gao.gov/products/gao-20-574)</t>
        </is>
      </c>
      <c r="I8" s="5" t="inlineStr">
        <is>
          <t>https://www.gao.gov/products/gao-20-574.</t>
        </is>
      </c>
      <c r="J8" s="6" t="n"/>
      <c r="K8" s="6" t="n"/>
      <c r="L8" s="6" t="n"/>
      <c r="M8" s="5" t="inlineStr">
        <is>
          <t>c3008c0a-6119-5da3-b423-cd8fec0dcce2</t>
        </is>
      </c>
      <c r="N8" s="5" t="inlineStr">
        <is>
          <t>1f639514-3340-592a-bbe7-85541236e1c4</t>
        </is>
      </c>
      <c r="O8" s="5" t="inlineStr">
        <is>
          <t>DOC-2021-0007-0522</t>
        </is>
      </c>
    </row>
    <row r="9">
      <c r="A9" s="5" t="n">
        <v>8</v>
      </c>
      <c r="B9" s="5" t="inlineStr">
        <is>
          <t>url_full_ref</t>
        </is>
      </c>
      <c r="C9" s="5" t="n">
        <v>100</v>
      </c>
      <c r="D9" s="5" t="inlineStr">
        <is>
          <t>www.americanbar.org/groups/litigation/resources/newsletters/childrens-rights/perp</t>
        </is>
      </c>
      <c r="E9" s="5" t="inlineStr">
        <is>
          <t>3. American Bar Association Report on Forced Criminality in Minors: https://www.americanbar.org/groups/litigation/resources/newsletters/childrens-rights/perp etrators-victims-us-response/</t>
        </is>
      </c>
      <c r="F9" s="5" t="inlineStr">
        <is>
          <t>https://www.americanbar.org/groups/litigation/resources/newsletters/childrens-rights/perp</t>
        </is>
      </c>
      <c r="G9" s="5" t="inlineStr">
        <is>
          <t>The DOJ highlights cases where victims were pressured into criminal acts, such as soliciting illicit images of others or transferring money to the perpetrators.³</t>
        </is>
      </c>
      <c r="H9" s="5" t="inlineStr">
        <is>
          <t>[footnote] American Bar Association Report on Forced Criminality in Minors: https://www.americanbar.org/groups/litigation/resources/newsletters/childrens-rights/perp etrators-victims-us-response/</t>
        </is>
      </c>
      <c r="I9" s="5" t="inlineStr">
        <is>
          <t>https://www.americanbar.org/groups/litigation/resources/newsletters/childrens-rights/perp etrators-victims-us-response/</t>
        </is>
      </c>
      <c r="J9" s="6" t="n"/>
      <c r="K9" s="6" t="n"/>
      <c r="L9" s="6" t="n"/>
      <c r="M9" s="5" t="inlineStr">
        <is>
          <t>e6e80bb4-9806-5b33-baac-a986ca5d677c</t>
        </is>
      </c>
      <c r="N9" s="5" t="inlineStr">
        <is>
          <t>61eac671-35a1-5d51-a144-33802cfc338a</t>
        </is>
      </c>
      <c r="O9" s="5" t="inlineStr">
        <is>
          <t>AI-RFI-2025-1512</t>
        </is>
      </c>
    </row>
    <row r="10">
      <c r="A10" s="5" t="n">
        <v>9</v>
      </c>
      <c r="B10" s="5" t="inlineStr">
        <is>
          <t>url_full_ref</t>
        </is>
      </c>
      <c r="C10" s="5" t="n">
        <v>100</v>
      </c>
      <c r="D10" s="5" t="inlineStr">
        <is>
          <t>www.nist.gov/artificial-intelligence</t>
        </is>
      </c>
      <c r="E10" s="5" t="inlineStr">
        <is>
          <t>National Institute of Standards and Technology (NIST). (2023b, October 26). U.S. Artificial Intelligence Safety Institute [https://www.nist.gov/artificial-intelligence/](https://www.nist.gov/artificial-intelligence/artificial-intelligence-safety-institute) [artificial-intelligence-safety-institute](https://www.nist.gov/artificial-intelligence/artificial-intelligence-safety-institute)</t>
        </is>
      </c>
      <c r="F10" s="5" t="inlineStr">
        <is>
          <t>https://www.nist.gov/artificial-intelligence/</t>
        </is>
      </c>
      <c r="G10" s="5" t="inlineStr">
        <is>
          <t>The US AI Safety Institute, UK AI Safety Institute, and the Cyberspace Administration of China have emerged to begin developing safety standards and evaluations that could become important building blocks for regulations (see China Law Translate, 2023; AI Safety Institute, 2023; National Institute of Standards and Technology, 2023b).</t>
        </is>
      </c>
      <c r="H10" s="5" t="inlineStr">
        <is>
          <t>[reference] National Institute of Standards and Technology (NIST). (2023b, October 26). U.S. Artificial Intelligence Safety Institute https://www.nist.gov/artificial-intelligence/ artificial-intelligence-safety-institute</t>
        </is>
      </c>
      <c r="I10" s="5" t="inlineStr">
        <is>
          <t>https://www.nist.gov/artificial-intelligence/</t>
        </is>
      </c>
      <c r="J10" s="6" t="n"/>
      <c r="K10" s="6" t="n"/>
      <c r="L10" s="6" t="n"/>
      <c r="M10" s="5" t="inlineStr">
        <is>
          <t>d3ab398b-2a4a-5dfe-acd0-950f6e7e2efd</t>
        </is>
      </c>
      <c r="N10" s="5" t="inlineStr">
        <is>
          <t>e601c53a-c194-5017-9551-2c55fdd2c7bb</t>
        </is>
      </c>
      <c r="O10" s="5" t="inlineStr">
        <is>
          <t>NIST-2023-0009-0173</t>
        </is>
      </c>
    </row>
    <row r="11">
      <c r="A11" s="5" t="n">
        <v>10</v>
      </c>
      <c r="B11" s="5" t="inlineStr">
        <is>
          <t>url_full_ref</t>
        </is>
      </c>
      <c r="C11" s="5" t="n">
        <v>100</v>
      </c>
      <c r="D11" s="5" t="inlineStr">
        <is>
          <t>www.compsim.com/news/news%20release%20-%20battlespace%20automation.html</t>
        </is>
      </c>
      <c r="E11" s="5" t="inlineStr">
        <is>
          <t>"Battlespace Automation" describes a fully automated battlespace hierarchy: https://www.compsim.com/news/News%20Release%20-%20Battlespace%20Automation.html</t>
        </is>
      </c>
      <c r="F11" s="5" t="inlineStr">
        <is>
          <t>https://www.compsim.com/news/News%20Release%20-%20Battlespace%20Automation.html</t>
        </is>
      </c>
      <c r="G11" s="5" t="inlineStr">
        <is>
          <t>"Battlespace Automation" describes a fully automated battlespace hierarchy: https://www.compsim.com/news/News%20Release%20-%20Battlespace%20Automation.html</t>
        </is>
      </c>
      <c r="H11" s="5" t="inlineStr"/>
      <c r="I11" s="5" t="inlineStr">
        <is>
          <t>https://www.compsim.com/news/News%20Release%20-%20Battlespace%20Automation.html</t>
        </is>
      </c>
      <c r="J11" s="6" t="n"/>
      <c r="K11" s="6" t="n"/>
      <c r="L11" s="6" t="n"/>
      <c r="M11" s="5" t="inlineStr">
        <is>
          <t>e6b0850a-4784-5cb8-8ac9-3d4ac00c6ccf</t>
        </is>
      </c>
      <c r="N11" s="5" t="inlineStr">
        <is>
          <t>9e2a0df4-b6e6-54bf-bccd-09645b174903</t>
        </is>
      </c>
      <c r="O11" s="5" t="inlineStr">
        <is>
          <t>AI-RFI-2025-0848</t>
        </is>
      </c>
    </row>
    <row r="12">
      <c r="A12" s="5" t="n">
        <v>11</v>
      </c>
      <c r="B12" s="5" t="inlineStr">
        <is>
          <t>url_full_ref</t>
        </is>
      </c>
      <c r="C12" s="5" t="n">
        <v>100</v>
      </c>
      <c r="D12" s="5" t="inlineStr">
        <is>
          <t>arxiv.org/abs/2005.14165</t>
        </is>
      </c>
      <c r="E12" s="5" t="inlineStr">
        <is>
          <t>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and Amodei D (2020) Language Models are Few-Shot Learners. *arXiv*, https://arxiv.org/abs/2005.14165</t>
        </is>
      </c>
      <c r="F12" s="5" t="inlineStr">
        <is>
          <t>https://arxiv.org/abs/2005.14165</t>
        </is>
      </c>
      <c r="G12" s="5" t="inlineStr">
        <is>
          <t>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and Amodei D (2020) Language Models are Few-Shot Learners. arXiv, https://arxiv.org/abs/2005.14165</t>
        </is>
      </c>
      <c r="H12" s="5" t="inlineStr"/>
      <c r="I12" s="5" t="inlineStr">
        <is>
          <t>https://arxiv.org/abs/2005.14165</t>
        </is>
      </c>
      <c r="J12" s="6" t="n"/>
      <c r="K12" s="6" t="n"/>
      <c r="L12" s="6" t="n"/>
      <c r="M12" s="5" t="inlineStr">
        <is>
          <t>344131b0-9b03-5cd5-85cb-95cc47ffa478</t>
        </is>
      </c>
      <c r="N12" s="5" t="inlineStr">
        <is>
          <t>89d152fc-8f75-5295-aaa6-c06d699fcd6f</t>
        </is>
      </c>
      <c r="O12" s="5" t="inlineStr">
        <is>
          <t>NIST-2021-0004-0123</t>
        </is>
      </c>
    </row>
    <row r="13">
      <c r="A13" s="5" t="n">
        <v>12</v>
      </c>
      <c r="B13" s="5" t="inlineStr">
        <is>
          <t>url_full_ref</t>
        </is>
      </c>
      <c r="C13" s="5" t="n">
        <v>100</v>
      </c>
      <c r="D13" s="5" t="inlineStr">
        <is>
          <t>www.nsf.gov/news/news_summ.jsp</t>
        </is>
      </c>
      <c r="E13" s="5" t="inlineStr">
        <is>
          <t>NSF statement of support for National Artificial Intelligence Research and Development Strategic Plan, Oct. 26, 2016</t>
        </is>
      </c>
      <c r="F13" s="5" t="inlineStr">
        <is>
          <t>https://www.nsf.gov/news/news_summ.jsp?cntn_id=190150</t>
        </is>
      </c>
      <c r="G13" s="5" t="inlineStr">
        <is>
          <t>Biden Administration launches the National Artificial Intelligence Research Resource Task Force, News Release 21-006</t>
        </is>
      </c>
      <c r="H13" s="5" t="inlineStr"/>
      <c r="I13" s="5" t="inlineStr">
        <is>
          <t>https://www.nsf.gov/news/news_summ.jsp?cntn_id=302882&amp;org=NSF&amp;from=news</t>
        </is>
      </c>
      <c r="J13" s="6" t="n"/>
      <c r="K13" s="6" t="n"/>
      <c r="L13" s="6" t="n"/>
      <c r="M13" s="5" t="inlineStr">
        <is>
          <t>b7aac6d0-9879-5c7b-8117-12b601c109da</t>
        </is>
      </c>
      <c r="N13" s="5" t="inlineStr">
        <is>
          <t>9b78d289-0d7d-5d68-8341-414009f19f84</t>
        </is>
      </c>
      <c r="O13" s="5" t="inlineStr">
        <is>
          <t>NIST-2021-0004-0093</t>
        </is>
      </c>
    </row>
    <row r="14">
      <c r="A14" s="5" t="n">
        <v>13</v>
      </c>
      <c r="B14" s="5" t="inlineStr">
        <is>
          <t>url_full_ref</t>
        </is>
      </c>
      <c r="C14" s="5" t="n">
        <v>100</v>
      </c>
      <c r="D14" s="5" t="inlineStr">
        <is>
          <t>www.federalregister.gov/documents/2023/01/10/2023-00283/draft-strategic-enforcement-plan</t>
        </is>
      </c>
      <c r="E14" s="5" t="inlineStr">
        <is>
          <t>*Draft Strategic Enforcement Plan*. (2023, January 10). Federal Register[.](https://www.federalregister.gov/documents/2023/01/10/2023-00283/draft-strategic-enforcement-plan)
*Federal Data Strategy 2021 Action Plan*. (2021).
&lt;https://www.federalregister.gov/documents/2023/01/10/2023-00283/draft-strategic-enforcement-plan&gt;</t>
        </is>
      </c>
      <c r="F14" s="5" t="inlineStr">
        <is>
          <t>https://www.federalregister.gov/documents/2023/01/10/2023-00283/draft-strategic-enforcement-plan</t>
        </is>
      </c>
      <c r="G14" s="5" t="inlineStr">
        <is>
          <t>Draft Strategic Enforcement Plan. (2023, January 10). Federal Register.</t>
        </is>
      </c>
      <c r="H14" s="5" t="inlineStr"/>
      <c r="I14" s="5" t="inlineStr">
        <is>
          <t>https://www.federalregister.gov/documents/2023/01/10/2023-00283/draft-strategic-enforcement-plan</t>
        </is>
      </c>
      <c r="J14" s="6" t="n"/>
      <c r="K14" s="6" t="n"/>
      <c r="L14" s="6" t="n"/>
      <c r="M14" s="5" t="inlineStr">
        <is>
          <t>5bb7d563-dc03-5576-be10-dd416a587acb</t>
        </is>
      </c>
      <c r="N14" s="5" t="inlineStr">
        <is>
          <t>39a65b1c-0448-512a-a0f8-fc7823c86464</t>
        </is>
      </c>
      <c r="O14" s="5" t="inlineStr">
        <is>
          <t>NTIA-2023-0005-0626</t>
        </is>
      </c>
    </row>
    <row r="15">
      <c r="A15" s="5" t="n">
        <v>14</v>
      </c>
      <c r="B15" s="5" t="inlineStr">
        <is>
          <t>url_full_ref</t>
        </is>
      </c>
      <c r="C15" s="5" t="n">
        <v>100</v>
      </c>
      <c r="D15" s="5" t="inlineStr">
        <is>
          <t>www.acus.gov/document/using-algorithmic-tools-retrospective-review-agency-rules</t>
        </is>
      </c>
      <c r="E15" s="5" t="inlineStr">
        <is>
          <t>*Recommendation 2023-3: Using Algorithmic Tools in Retrospective Review of Agency Rules*. (2023). Administrative Conference of the United States. [https://www.acus.gov/document/using-algorithmic-tools-retrospective-review-agenc](https://www.acus.gov/document/using-algorithmic-tools-retrospective-review-agency-rules) [y-rules](https://www.acus.gov/document/using-algorithmic-tools-retrospective-review-agency-rules)</t>
        </is>
      </c>
      <c r="F15" s="5" t="inlineStr">
        <is>
          <t>https://www.acus.gov/document/using-algorithmic-tools-retrospective-review-agenc</t>
        </is>
      </c>
      <c r="G15" s="5" t="inlineStr">
        <is>
          <t>As with the above examples of reviewing and summarizing content, generative AI tools could be used in [retrospective](https://www.acus.gov/document/using-algorithmic-tools-retrospective-review-agency-rules) reviews of rules to catch errors, redundancies, and conflicts.</t>
        </is>
      </c>
      <c r="H15" s="5" t="inlineStr"/>
      <c r="I15" s="5" t="inlineStr">
        <is>
          <t>https://www.acus.gov/document/using-algorithmic-tools-retrospective-review-agency-rules</t>
        </is>
      </c>
      <c r="J15" s="6" t="n"/>
      <c r="K15" s="6" t="n"/>
      <c r="L15" s="6" t="n"/>
      <c r="M15" s="5" t="inlineStr">
        <is>
          <t>5433dafc-924f-502c-9cfd-fcf57ddc72ab</t>
        </is>
      </c>
      <c r="N15" s="5" t="inlineStr">
        <is>
          <t>1e9ec0f7-e8ca-56bb-9a6b-6924246b2ba8</t>
        </is>
      </c>
      <c r="O15" s="5" t="inlineStr">
        <is>
          <t>OMB-2023-0020-0145</t>
        </is>
      </c>
    </row>
    <row r="16">
      <c r="A16" s="5" t="n">
        <v>15</v>
      </c>
      <c r="B16" s="5" t="inlineStr">
        <is>
          <t>url_full_ref</t>
        </is>
      </c>
      <c r="C16" s="5" t="n">
        <v>100</v>
      </c>
      <c r="D16" s="5" t="inlineStr">
        <is>
          <t>dl.acm.org/doi/abs/10.1145/3460120.3484581</t>
        </is>
      </c>
      <c r="E16" s="5" t="inlineStr">
        <is>
          <t>Shekari, Tohid, Celine Irvene, Alvaro A. Cardenas, Raheem Beyah. 2021. 'MaMIoT: Manipulation of Energy Market Leveraging High Wattage IoT Botnets.' Publication History. As of 26 January 2024: https://dl.acm.org/doi/abs/10.1145/3460120.3484581.</t>
        </is>
      </c>
      <c r="F16" s="5" t="inlineStr">
        <is>
          <t>https://dl.acm.org/doi/abs/10.1145/3460120.3484581.</t>
        </is>
      </c>
      <c r="G16" s="5" t="inlineStr">
        <is>
          <t>The manipulator could also leverage botnets created out of hacked Internet of Things appliances to slightly change the total demand of the power grid with the aim of affecting the electricity prices in the favor of specific market players.36</t>
        </is>
      </c>
      <c r="H16" s="5" t="inlineStr">
        <is>
          <t>[footnote] Shekari et al. (2021).</t>
        </is>
      </c>
      <c r="I16" s="5" t="inlineStr">
        <is>
          <t>https://dl.acm.org/doi/abs/10.1145/3460120.3484581</t>
        </is>
      </c>
      <c r="J16" s="6" t="n"/>
      <c r="K16" s="6" t="n"/>
      <c r="L16" s="6" t="n"/>
      <c r="M16" s="5" t="inlineStr">
        <is>
          <t>bef6ae39-b1f7-52c6-837b-a0c70fc03073</t>
        </is>
      </c>
      <c r="N16" s="5" t="inlineStr">
        <is>
          <t>4798b932-8b23-50d4-b611-73422f9d4eab</t>
        </is>
      </c>
      <c r="O16" s="5" t="inlineStr">
        <is>
          <t>DOE-HQ-2024-0007-0006</t>
        </is>
      </c>
    </row>
    <row r="17">
      <c r="A17" s="5" t="n">
        <v>16</v>
      </c>
      <c r="B17" s="5" t="inlineStr">
        <is>
          <t>url_full_ref</t>
        </is>
      </c>
      <c r="C17" s="5" t="n">
        <v>100</v>
      </c>
      <c r="D17" s="5" t="inlineStr">
        <is>
          <t>cloud.google.com/free/docs/free-cloud-features</t>
        </is>
      </c>
      <c r="E17" s="5" t="inlineStr">
        <is>
          <t>17. Google Cloud Free Compute Features: https://cloud.google.com/free/docs/free-cloud-features#compute</t>
        </is>
      </c>
      <c r="F17" s="5" t="inlineStr">
        <is>
          <t>https://cloud.google.com/free/docs/free-cloud-features#compute</t>
        </is>
      </c>
      <c r="G17" s="5" t="inlineStr">
        <is>
          <t>Google Cloud Free Compute Features: https://cloud.google.com/free/docs/free-cloud-features#compute</t>
        </is>
      </c>
      <c r="H17" s="5" t="inlineStr">
        <is>
          <t>[footnote] Google Cloud Free Compute Features: https://cloud.google.com/free/docs/free-cloud-features#compute</t>
        </is>
      </c>
      <c r="I17" s="5" t="inlineStr">
        <is>
          <t>https://cloud.google.com/free/docs/free-cloud-features#compute</t>
        </is>
      </c>
      <c r="J17" s="6" t="n"/>
      <c r="K17" s="6" t="n"/>
      <c r="L17" s="6" t="n"/>
      <c r="M17" s="5" t="inlineStr">
        <is>
          <t>1eb266ff-3916-5abb-9732-c5a5ba067a9a</t>
        </is>
      </c>
      <c r="N17" s="5" t="inlineStr">
        <is>
          <t>371c381a-8577-59e1-9e31-07131a7710b3</t>
        </is>
      </c>
      <c r="O17" s="5" t="inlineStr">
        <is>
          <t>AI-RFI-2025-1512</t>
        </is>
      </c>
    </row>
    <row r="18">
      <c r="A18" s="5" t="n">
        <v>17</v>
      </c>
      <c r="B18" s="5" t="inlineStr">
        <is>
          <t>url_full_ref</t>
        </is>
      </c>
      <c r="C18" s="5" t="n">
        <v>100</v>
      </c>
      <c r="D18" s="5" t="inlineStr">
        <is>
          <t>arxiv.org/abs/2311.01550</t>
        </is>
      </c>
      <c r="E18" s="5" t="inlineStr">
        <is>
          <t>Vipra, Jai and Anton Korinek. 2023. 'Market Concentration Implications of Foundation Models.' Brookings Center on Regulation and Markets Working Paper #9. As of 18 March 2024: https://arxiv.org/abs/2311.01550.</t>
        </is>
      </c>
      <c r="F18" s="5" t="inlineStr">
        <is>
          <t>https://arxiv.org/abs/2311.01550.</t>
        </is>
      </c>
      <c r="G18" s="5" t="inlineStr">
        <is>
          <t>Given the highly specific characteristics of the electricity industry, it is likely that this market will feature only a few suppliers.38</t>
        </is>
      </c>
      <c r="H18" s="5" t="inlineStr">
        <is>
          <t>[footnote] Vipra and Korinek (2023).</t>
        </is>
      </c>
      <c r="I18" s="5" t="inlineStr">
        <is>
          <t>https://arxiv.org/abs/2311.01550</t>
        </is>
      </c>
      <c r="J18" s="6" t="n"/>
      <c r="K18" s="6" t="n"/>
      <c r="L18" s="6" t="n"/>
      <c r="M18" s="5" t="inlineStr">
        <is>
          <t>eb541954-fce0-5dca-946c-94ffa003f6d0</t>
        </is>
      </c>
      <c r="N18" s="5" t="inlineStr">
        <is>
          <t>ce365232-4097-5fc5-900f-907823cf1527</t>
        </is>
      </c>
      <c r="O18" s="5" t="inlineStr">
        <is>
          <t>DOE-HQ-2024-0007-0006</t>
        </is>
      </c>
    </row>
    <row r="19">
      <c r="A19" s="5" t="n">
        <v>18</v>
      </c>
      <c r="B19" s="5" t="inlineStr">
        <is>
          <t>url_full_ref</t>
        </is>
      </c>
      <c r="C19" s="5" t="n">
        <v>100</v>
      </c>
      <c r="D19" s="5" t="inlineStr">
        <is>
          <t>www.nature.com/articles/s41586-024-07566-y</t>
        </is>
      </c>
      <c r="E19" s="5" t="inlineStr">
        <is>
          <t>[Nature] AI models collapse when trained on recursively generated data: Shumailov et al, July 2024
&lt;https://www.nature.com/articles/s41586-024-07566-y&gt;</t>
        </is>
      </c>
      <c r="F19" s="5" t="inlineStr">
        <is>
          <t>https://www.nature.com/articles/s41586-024-07566-y</t>
        </is>
      </c>
      <c r="G19" s="5" t="inlineStr">
        <is>
          <t>AI developers can also filter based on the "Digital Source Type" property. As some studies suggest that AI models collapse when trained on recursively generated data [Nature]. it could be useful to have an automated way to avoid processing existing generative AI images.</t>
        </is>
      </c>
      <c r="H19" s="5" t="inlineStr">
        <is>
          <t>[reference] &lt;https://www.nature.com/articles/s41586-024-07566-y&gt;</t>
        </is>
      </c>
      <c r="I19" s="5" t="inlineStr">
        <is>
          <t>https://www.nature.com/articles/s41586-024-07566-y</t>
        </is>
      </c>
      <c r="J19" s="6" t="n"/>
      <c r="K19" s="6" t="n"/>
      <c r="L19" s="6" t="n"/>
      <c r="M19" s="5" t="inlineStr">
        <is>
          <t>a4484865-777a-52f0-8d82-548491ce12a8</t>
        </is>
      </c>
      <c r="N19" s="5" t="inlineStr">
        <is>
          <t>c0da429d-6e78-5949-8ed3-0e81c0268d5d</t>
        </is>
      </c>
      <c r="O19" s="5" t="inlineStr">
        <is>
          <t>IPTC-AI-RFI-2025</t>
        </is>
      </c>
    </row>
    <row r="20">
      <c r="A20" s="5" t="n">
        <v>19</v>
      </c>
      <c r="B20" s="5" t="inlineStr">
        <is>
          <t>url_full_ref</t>
        </is>
      </c>
      <c r="C20" s="5" t="n">
        <v>100</v>
      </c>
      <c r="D20" s="5" t="inlineStr">
        <is>
          <t>datatracker.ietf.org/wg/ohai/about</t>
        </is>
      </c>
      <c r="E20" s="5" t="inlineStr">
        <is>
          <t>6. "Oblivious HTTP Application Intermediation (ohai)." IETF Datatracker, https://datatracker.ietf.org/wg/ohai/about/. Accessed 7 July 2022.</t>
        </is>
      </c>
      <c r="F20" s="5" t="inlineStr">
        <is>
          <t>https://datatracker.ietf.org/wg/ohai/about/.</t>
        </is>
      </c>
      <c r="G20" s="5" t="inlineStr">
        <is>
          <t>There is active work being done in the Internet Engineering Task Force (IETF) [4] to standardize protocols that enable privacy-preserving data analytics, particularly in the Privacy Preserving Measurement (PPM) [5] and Oblivious HTTP Application Intermediation (OHAI) [6] working groups.</t>
        </is>
      </c>
      <c r="H20" s="5" t="inlineStr">
        <is>
          <t>[reference] "Oblivious HTTP Application Intermediation (ohai)." IETF Datatracker, https://datatracker.ietf.org/wg/ohai/about/.</t>
        </is>
      </c>
      <c r="I20" s="5" t="inlineStr">
        <is>
          <t>https://datatracker.ietf.org/wg/ohai/about/.</t>
        </is>
      </c>
      <c r="J20" s="6" t="n"/>
      <c r="K20" s="6" t="n"/>
      <c r="L20" s="6" t="n"/>
      <c r="M20" s="5" t="inlineStr">
        <is>
          <t>399a4232-b054-55b6-a29d-b9e4a0698ba3</t>
        </is>
      </c>
      <c r="N20" s="5" t="inlineStr">
        <is>
          <t>e4fa4bea-d602-587b-a4f1-bfb35eb5333d</t>
        </is>
      </c>
      <c r="O20" s="5" t="inlineStr">
        <is>
          <t>Brave-Software-PET-RFI-Response-2022</t>
        </is>
      </c>
    </row>
    <row r="21">
      <c r="A21" s="5" t="n">
        <v>20</v>
      </c>
      <c r="B21" s="5" t="inlineStr">
        <is>
          <t>url_full_ref</t>
        </is>
      </c>
      <c r="C21" s="5" t="n">
        <v>100</v>
      </c>
      <c r="D21" s="5" t="inlineStr">
        <is>
          <t>www.wapa.gov/power-marketing/rates-and-repayment</t>
        </is>
      </c>
      <c r="E21" s="5" t="inlineStr">
        <is>
          <t>Western Area Power Administration, "Rates and Repayment," webpage, September 20, 2024. As of March 3, 2025: https://www.wapa.gov/power-marketing/rates-and-repayment/</t>
        </is>
      </c>
      <c r="F21" s="5" t="inlineStr">
        <is>
          <t>https://www.wapa.gov/power-marketing/rates-and-repayment/</t>
        </is>
      </c>
      <c r="G21" s="5" t="inlineStr">
        <is>
          <t>Pursuing transmission projects via these public/private partnerships- for which sovereign immunity is not waived-thus avoids triggering state level public utility commission (PUC) reviews, which can last many years.44</t>
        </is>
      </c>
      <c r="H21" s="5" t="inlineStr">
        <is>
          <t>[footnote] DOE possesses independent authorities to perform-and in some cases does perform-" cost allocation" functions for transmission lines normally handled by state public utility commissions. See: Western Area Power Administration, "Rates and Repayment," webpage, September 20, 2024.</t>
        </is>
      </c>
      <c r="I21" s="5" t="inlineStr">
        <is>
          <t>https://www.wapa.gov/power-marketing/rates-and-repayment/</t>
        </is>
      </c>
      <c r="J21" s="6" t="n"/>
      <c r="K21" s="6" t="n"/>
      <c r="L21" s="6" t="n"/>
      <c r="M21" s="5" t="inlineStr">
        <is>
          <t>49b476ce-7b6f-5aea-a653-d67ce4e233bf</t>
        </is>
      </c>
      <c r="N21" s="5" t="inlineStr">
        <is>
          <t>4b188bdf-29f0-5aaa-9e95-834446ca4857</t>
        </is>
      </c>
      <c r="O21" s="5" t="inlineStr">
        <is>
          <t>YusufMahmood-AI-RFI-2025</t>
        </is>
      </c>
    </row>
    <row r="22">
      <c r="A22" s="5" t="n">
        <v>21</v>
      </c>
      <c r="B22" s="5" t="inlineStr">
        <is>
          <t>url_bare</t>
        </is>
      </c>
      <c r="C22" s="5" t="n">
        <v>100</v>
      </c>
      <c r="D22" s="5" t="inlineStr">
        <is>
          <t>www.gartner.com/smarterwithgartner/gartner-keynote-the-future-of-business-is-composable</t>
        </is>
      </c>
      <c r="E22" s="5" t="inlineStr">
        <is>
          <t>8. https://www.gartner.com/smarterwithgartner/gartner-keynote-the-future-of-business-is-composable/</t>
        </is>
      </c>
      <c r="F22" s="5" t="inlineStr">
        <is>
          <t>https://www.gartner.com/smarterwithgartner/gartner-keynote-the-future-of-business-is-composable/</t>
        </is>
      </c>
      <c r="G22" s="5" t="inlineStr">
        <is>
          <t>The integration of the core principles of the Industry 4.0 mindset is well illustrated by the Intelligent Composable Business Architecture [5].</t>
        </is>
      </c>
      <c r="H22" s="5" t="inlineStr">
        <is>
          <t>[reference] https://www.gartner.com/smarterwithgartner/gartner-keynote-the-future-of-business-is-composable/</t>
        </is>
      </c>
      <c r="I22" s="5" t="inlineStr">
        <is>
          <t>https://www.gartner.com/smarterwithgartner/gartner-keynote-the-future-of-business-is-composable/</t>
        </is>
      </c>
      <c r="J22" s="6" t="n"/>
      <c r="K22" s="6" t="n"/>
      <c r="L22" s="6" t="n"/>
      <c r="M22" s="5" t="inlineStr">
        <is>
          <t>b3abb10a-c224-5008-a069-0fc1d57a38cd</t>
        </is>
      </c>
      <c r="N22" s="5" t="inlineStr">
        <is>
          <t>7be949b7-271d-5456-acdc-8d802cae14ea</t>
        </is>
      </c>
      <c r="O22" s="5" t="inlineStr">
        <is>
          <t>NIST-2021-0007-0012</t>
        </is>
      </c>
    </row>
    <row r="23">
      <c r="A23" s="5" t="n">
        <v>22</v>
      </c>
      <c r="B23" s="5" t="inlineStr">
        <is>
          <t>url_bare</t>
        </is>
      </c>
      <c r="C23" s="5" t="n">
        <v>100</v>
      </c>
      <c r="D23" s="5" t="inlineStr">
        <is>
          <t>legaljournal.princeton.edu/the-high-stakes-of-deepfakes-the-growing-necessity-of-federal-legislation-to-regulate-this-rapidly-evolving-technology/</t>
        </is>
      </c>
      <c r="E23" s="5" t="inlineStr">
        <is>
          <t>6. [https://legaljournal.princeton.edu/the-high-stakes-of-deepfakes-the-growing-necessity-of](https://legaljournal.princeton.edu/the-high-stakes-of-deepfakes-the-growing-necessity-of-federal-legislation-to-regulate-this-rapidly-evolving-technology/?utm)[federal-legislation-to-regulate-this-rapidly-evolving-technology/?utm](https://legaljournal.princeton.edu/the-high-stakes-of-deepfakes-the-growing-necessity-of-federal-legislation-to-regulate-this-rapidly-evolving-technology/?utm)</t>
        </is>
      </c>
      <c r="F23" s="5" t="inlineStr">
        <is>
          <t>https://legaljournal.princeton.edu/the-high-stakes-of-deepfakes-the-growing-necessity-of](https://legaljournal.princeton.edu/the-high-stakes-of-deepfakes-the-growing-necessity-of-federal-legislation-to-regulate-this-rapidly-evolving-technology/?utm)[federal-legislation-to-regulate-this-rapidly-evolving-technology/?utm</t>
        </is>
      </c>
      <c r="G23" s="5" t="inlineStr">
        <is>
          <t>Malicious actors can easily exploit these tools to generate fake news, [non-consensual explicit material,](https://legaljournal.princeton.edu/the-high-stakes-of-deepfakes-the-growing-necessity-of-federal-legislation-to-regulate-this-rapidly-evolving-technology/?utm) and politically manipulate context.</t>
        </is>
      </c>
      <c r="H23" s="5" t="inlineStr"/>
      <c r="I23" s="5" t="inlineStr">
        <is>
          <t>https://legaljournal.princeton.edu/the-high-stakes-of-deepfakes-the-growing-necessity-of-federal-legislation-to-regulate-this-rapidly-evolving-technology/?utm</t>
        </is>
      </c>
      <c r="J23" s="6" t="n"/>
      <c r="K23" s="6" t="n"/>
      <c r="L23" s="6" t="n"/>
      <c r="M23" s="5" t="inlineStr">
        <is>
          <t>b462476c-dde2-54fd-b676-80fda5958ad5</t>
        </is>
      </c>
      <c r="N23" s="5" t="inlineStr">
        <is>
          <t>4b117d7f-1cd4-506c-acff-21bbcca0d09a</t>
        </is>
      </c>
      <c r="O23" s="5" t="inlineStr">
        <is>
          <t>For-Every-Child-RFI-2025</t>
        </is>
      </c>
    </row>
    <row r="24">
      <c r="A24" s="5" t="n">
        <v>23</v>
      </c>
      <c r="B24" s="5" t="inlineStr">
        <is>
          <t>url_bare</t>
        </is>
      </c>
      <c r="C24" s="5" t="n">
        <v>100</v>
      </c>
      <c r="D24" s="5" t="inlineStr">
        <is>
          <t>www.washingtonpost.com/technology/2019/05/14/san-francisco-becomes-first-city-us-ban-facial-recognition-software</t>
        </is>
      </c>
      <c r="E24" s="5" t="inlineStr">
        <is>
          <t>iv https://www.washingtonpost.com/technology/2019/05/14/san-francisco-becomes-first-city-us-ban-facial-recognition-software/</t>
        </is>
      </c>
      <c r="F24" s="5" t="inlineStr">
        <is>
          <t>https://www.washingtonpost.com/technology/2019/05/14/san-francisco-becomes-first-city-us-ban-facial-recognition-software/</t>
        </is>
      </c>
      <c r="G24" s="5" t="inlineStr">
        <is>
          <t>Local governments are beginning to create regulations on their own, as seen with San Francisco's May 2019 ban on use of face-detection software by city agencies and law enforcementiv.</t>
        </is>
      </c>
      <c r="H24" s="5" t="inlineStr">
        <is>
          <t>[footnote] iv https://www.washingtonpost.com/technology/2019/05/14/san-francisco-becomes-first-city-us-ban-facial-recognition-software/</t>
        </is>
      </c>
      <c r="I24" s="5" t="inlineStr">
        <is>
          <t>https://www.washingtonpost.com/technology/2019/05/14/san-francisco-becomes-first-city-us-ban-facial-recognition-software/</t>
        </is>
      </c>
      <c r="J24" s="6" t="n"/>
      <c r="K24" s="6" t="n"/>
      <c r="L24" s="6" t="n"/>
      <c r="M24" s="5" t="inlineStr">
        <is>
          <t>6cdfce47-c646-5262-8ca4-bf16af398248</t>
        </is>
      </c>
      <c r="N24" s="5" t="inlineStr">
        <is>
          <t>3f1ad900-0fb6-51b3-984a-4cbdaa352095</t>
        </is>
      </c>
      <c r="O24" s="5" t="inlineStr">
        <is>
          <t>NIST-2019-0001-0059</t>
        </is>
      </c>
    </row>
    <row r="25">
      <c r="A25" s="5" t="n">
        <v>24</v>
      </c>
      <c r="B25" s="5" t="inlineStr">
        <is>
          <t>url_bare</t>
        </is>
      </c>
      <c r="C25" s="5" t="n">
        <v>100</v>
      </c>
      <c r="D25" s="5" t="inlineStr">
        <is>
          <t>jacobian.org/2024/oct/1/ethical-public-sector-ai/</t>
        </is>
      </c>
      <c r="E25" s="5" t="inlineStr">
        <is>
          <t>https://jacobian.org/2024/oct/1/ethical-public-sector-ai/?utm_source=chatgpt.com#we-shoulduse-assistive-ai-in-the-public-sector</t>
        </is>
      </c>
      <c r="F25" s="5" t="inlineStr">
        <is>
          <t>https://jacobian.org/2024/oct/1/ethical-public-sector-ai/?utm_source=chatgpt.com#we-shoulduse-assistive-ai-in-the-public-sector</t>
        </is>
      </c>
      <c r="G25" s="5" t="inlineStr">
        <is>
          <t>https://jacobian.org/2024/oct/1/ethical-public-sector-ai/?utm_source=chatgpt.com#we-shoulduse-assistive-ai-in-the-public-sector</t>
        </is>
      </c>
      <c r="H25" s="5" t="inlineStr"/>
      <c r="I25" s="5" t="inlineStr">
        <is>
          <t>https://jacobian.org/2024/oct/1/ethical-public-sector-ai/?utm_source=chatgpt.com#we-shoulduse-assistive-ai-in-the-public-sector</t>
        </is>
      </c>
      <c r="J25" s="6" t="n"/>
      <c r="K25" s="6" t="n"/>
      <c r="L25" s="6" t="n"/>
      <c r="M25" s="5" t="inlineStr">
        <is>
          <t>c867cfcc-4c57-586f-aec9-d821b74be374</t>
        </is>
      </c>
      <c r="N25" s="5" t="inlineStr">
        <is>
          <t>6e226d00-b646-5e1c-a559-e2549d661a7a</t>
        </is>
      </c>
      <c r="O25" s="5" t="inlineStr">
        <is>
          <t>AI-RFI-2025-1950</t>
        </is>
      </c>
    </row>
    <row r="26">
      <c r="A26" s="5" t="n">
        <v>25</v>
      </c>
      <c r="B26" s="5" t="inlineStr">
        <is>
          <t>url_bare</t>
        </is>
      </c>
      <c r="C26" s="5" t="n">
        <v>100</v>
      </c>
      <c r="D26" s="5" t="inlineStr">
        <is>
          <t>sagroups.ieee.org/global-initiative/wp-content/uploads/sites/542/2023/01/ead1e.pdf</t>
        </is>
      </c>
      <c r="E26" s="5" t="inlineStr">
        <is>
          <t>[4] &lt;https://sagroups.ieee.org/global-initiative/wp-content/uploads/sites/542/2023/01/ead1e.pdf&gt;</t>
        </is>
      </c>
      <c r="F26" s="5" t="inlineStr">
        <is>
          <t>https://sagroups.ieee.org/global-initiative/wp-content/uploads/sites/542/2023/01/ead1e.pdf</t>
        </is>
      </c>
      <c r="G26" s="5" t="inlineStr">
        <is>
          <t>For example, the first edition of the IEEE SA, ["Ethically Aligned](https://sagroups.ieee.org/global-initiative/wp-content/uploads/sites/542/2023/01/ead1e.pdf) [Design[](https://sagroups.ieee.org/global-initiative/wp-content/uploads/sites/542/2023/01/ead1e.pdf)4]" was published in 2018, and include[d](https://sagroups.ieee.org/global-initiative/wp-content/uploads/sites/542/2023/01/ead1e_glossary.pdf) [a glossary[](https://sagroups.ieee.org/global-initiative/wp-content/uploads/sites/542/2023/01/ead1e_glossary.pdf)5] that defines AI ethics.</t>
        </is>
      </c>
      <c r="H26" s="5" t="inlineStr">
        <is>
          <t>[reference] [4]</t>
        </is>
      </c>
      <c r="I26" s="5" t="inlineStr">
        <is>
          <t>https://sagroups.ieee.org/global-initiative/wp-content/uploads/sites/542/2023/01/ead1e.pdf</t>
        </is>
      </c>
      <c r="J26" s="6" t="n"/>
      <c r="K26" s="6" t="n"/>
      <c r="L26" s="6" t="n"/>
      <c r="M26" s="5" t="inlineStr">
        <is>
          <t>da757d51-404f-5431-98fd-0098a3ae41f3</t>
        </is>
      </c>
      <c r="N26" s="5" t="inlineStr">
        <is>
          <t>5ef9622b-c40b-57a5-9a58-88a402990dee</t>
        </is>
      </c>
      <c r="O26" s="5" t="inlineStr">
        <is>
          <t>NIST-2024-0002-0040</t>
        </is>
      </c>
    </row>
    <row r="27">
      <c r="A27" s="5" t="n">
        <v>26</v>
      </c>
      <c r="B27" s="5" t="inlineStr">
        <is>
          <t>url_bare</t>
        </is>
      </c>
      <c r="C27" s="5" t="n">
        <v>100</v>
      </c>
      <c r="D27" s="5" t="inlineStr">
        <is>
          <t>www.unesco.org/en/legal-affairs/recommendation-ethics-artificial-intelligence</t>
        </is>
      </c>
      <c r="E27" s="5" t="inlineStr">
        <is>
          <t>26. [https://www.unesco.org/en/legal-affairs/recommendation-ethics-artificial-intelligence#:~:](https://www.unesco.org/en/legal-affairs/recommendation-ethics-artificial-intelligence#:~:text=Considering%20that%20AI,environment%20and%20ecosystems) [text=Considering%20that%20AI,environment%20and%20ecosystems](https://www.unesco.org/en/legal-affairs/recommendation-ethics-artificial-intelligence#:~:text=Considering%20that%20AI,environment%20and%20ecosystems)</t>
        </is>
      </c>
      <c r="F27" s="5" t="inlineStr">
        <is>
          <t>https://www.unesco.org/en/legal-affairs/recommendation-ethics-artificial-intelligence#:~:</t>
        </is>
      </c>
      <c r="G27" s="5" t="inlineStr">
        <is>
          <t>AI-generated misinformation - such as deepfakes - threatens democratic processes and [can manipulate](https://www.unesco.org/en/legal-affairs/recommendation-ethics-artificial-intelligence#:~:text=Considering%20that%20AI,environment%20and%20ecosystems) public opinion.</t>
        </is>
      </c>
      <c r="H27" s="5" t="inlineStr"/>
      <c r="I27" s="5" t="inlineStr">
        <is>
          <t>https://www.unesco.org/en/legal-affairs/recommendation-ethics-artificial-intelligence#:~:text=Considering%20that%20AI,environment%20and%20ecosystems</t>
        </is>
      </c>
      <c r="J27" s="6" t="n"/>
      <c r="K27" s="6" t="n"/>
      <c r="L27" s="6" t="n"/>
      <c r="M27" s="5" t="inlineStr">
        <is>
          <t>afa47481-21e8-5d2a-923e-3645347c52eb</t>
        </is>
      </c>
      <c r="N27" s="5" t="inlineStr">
        <is>
          <t>82eadb10-dc70-537e-ab62-b0d40d65951e</t>
        </is>
      </c>
      <c r="O27" s="5" t="inlineStr">
        <is>
          <t>For-Every-Child-RFI-2025</t>
        </is>
      </c>
    </row>
    <row r="28">
      <c r="A28" s="5" t="n">
        <v>27</v>
      </c>
      <c r="B28" s="5" t="inlineStr">
        <is>
          <t>url_bare</t>
        </is>
      </c>
      <c r="C28" s="5" t="n">
        <v>100</v>
      </c>
      <c r="D28" s="5" t="inlineStr">
        <is>
          <t>en.wikipedia.org/wiki/the_free_software_definition</t>
        </is>
      </c>
      <c r="E28" s="5" t="inlineStr">
        <is>
          <t>2. [https://en.wikipedia.org/wiki/The\_Free\_Software\_Definition](https://en.wikipedia.org/wiki/The_Free_Software_Definition)</t>
        </is>
      </c>
      <c r="F28" s="5" t="inlineStr">
        <is>
          <t>https://en.wikipedia.org/wiki/The\_Free\_Software\_Definition</t>
        </is>
      </c>
      <c r="G28" s="5" t="inlineStr">
        <is>
          <t>Free here is not free-of-cost but Free Speech, quoting Richard [Stallman](https://en.wikipedia.org/wiki/The_Free_Software_Definition).</t>
        </is>
      </c>
      <c r="H28" s="5" t="inlineStr"/>
      <c r="I28" s="5" t="inlineStr">
        <is>
          <t>https://en.wikipedia.org/wiki/The_Free_Software_Definition</t>
        </is>
      </c>
      <c r="J28" s="6" t="n"/>
      <c r="K28" s="6" t="n"/>
      <c r="L28" s="6" t="n"/>
      <c r="M28" s="5" t="inlineStr">
        <is>
          <t>b52d4fac-b616-5540-af77-b0998c7e04b5</t>
        </is>
      </c>
      <c r="N28" s="5" t="inlineStr">
        <is>
          <t>48cd9ccf-baf0-59bf-81b4-3f3ce95bae51</t>
        </is>
      </c>
      <c r="O28" s="5" t="inlineStr">
        <is>
          <t>OMB-2023-0020-0187</t>
        </is>
      </c>
    </row>
    <row r="29">
      <c r="A29" s="5" t="n">
        <v>28</v>
      </c>
      <c r="B29" s="5" t="inlineStr">
        <is>
          <t>url_bare</t>
        </is>
      </c>
      <c r="C29" s="5" t="n">
        <v>100</v>
      </c>
      <c r="D29" s="5" t="inlineStr">
        <is>
          <t>leg.colorado.gov/bills/hb24-1468</t>
        </is>
      </c>
      <c r="E29" s="5" t="inlineStr">
        <is>
          <t>https://leg.colorado.gov/bills/hb24-1468</t>
        </is>
      </c>
      <c r="F29" s="5" t="inlineStr">
        <is>
          <t>https://leg.colorado.gov/bills/hb24-1468</t>
        </is>
      </c>
      <c r="G29" s="5" t="inlineStr">
        <is>
          <t>https://leg.colorado.gov/bills/hb24-1468</t>
        </is>
      </c>
      <c r="H29" s="5" t="inlineStr"/>
      <c r="I29" s="5" t="inlineStr">
        <is>
          <t>https://leg.colorado.gov/bills/hb24-1468</t>
        </is>
      </c>
      <c r="J29" s="6" t="n"/>
      <c r="K29" s="6" t="n"/>
      <c r="L29" s="6" t="n"/>
      <c r="M29" s="5" t="inlineStr">
        <is>
          <t>4c910e12-e1f7-50b5-9c5c-a3f7a408bc33</t>
        </is>
      </c>
      <c r="N29" s="5" t="inlineStr">
        <is>
          <t>288e6fca-9f94-588a-a56e-b85731e45372</t>
        </is>
      </c>
      <c r="O29" s="5" t="inlineStr">
        <is>
          <t>Harold-Eder-RFI-2025</t>
        </is>
      </c>
    </row>
    <row r="30">
      <c r="A30" s="5" t="n">
        <v>29</v>
      </c>
      <c r="B30" s="5" t="inlineStr">
        <is>
          <t>url_bare</t>
        </is>
      </c>
      <c r="C30" s="5" t="n">
        <v>100</v>
      </c>
      <c r="D30" s="5" t="inlineStr">
        <is>
          <t>www.oyez.org/cases/1978/78-5374</t>
        </is>
      </c>
      <c r="E30" s="5" t="inlineStr">
        <is>
          <t>xix https://www.oyez.org/cases/1978/78-5374</t>
        </is>
      </c>
      <c r="F30" s="5" t="inlineStr">
        <is>
          <t>https://www.oyez.org/cases/1978/78-5374</t>
        </is>
      </c>
      <c r="G30" s="5" t="inlineStr">
        <is>
          <t>Later, in United States v. Miller (1976)xviii and Smith v. Maryland (1979)xix, the courts established what is known as the Third-Party Doctrine, which holds that information one voluntarily gives to a third party does not carry a reasonable expectation of privacy (e.g., bank records, dialed phone numbers).</t>
        </is>
      </c>
      <c r="H30" s="5" t="inlineStr">
        <is>
          <t>[footnote] xviii https://www.oyez.org/cases/1975/74-1179 xix https://www.oyez.org/cases/1978/78-5374</t>
        </is>
      </c>
      <c r="I30" s="5" t="inlineStr">
        <is>
          <t>https://www.oyez.org/cases/1975/74-1179</t>
        </is>
      </c>
      <c r="J30" s="6" t="n"/>
      <c r="K30" s="6" t="n"/>
      <c r="L30" s="6" t="n"/>
      <c r="M30" s="5" t="inlineStr">
        <is>
          <t>e251c733-acab-585f-9eab-aae8b72f7aea</t>
        </is>
      </c>
      <c r="N30" s="5" t="inlineStr">
        <is>
          <t>d1a3b58b-6d93-564f-8977-0ceb0bedd636</t>
        </is>
      </c>
      <c r="O30" s="5" t="inlineStr">
        <is>
          <t>NIST-2019-0001-0059</t>
        </is>
      </c>
    </row>
    <row r="31">
      <c r="A31" s="5" t="n">
        <v>30</v>
      </c>
      <c r="B31" s="5" t="inlineStr">
        <is>
          <t>url_bare</t>
        </is>
      </c>
      <c r="C31" s="5" t="n">
        <v>100</v>
      </c>
      <c r="D31" s="5" t="inlineStr">
        <is>
          <t>www.nature.com/articles/s42256-019-0088-2</t>
        </is>
      </c>
      <c r="E31" s="5" t="inlineStr">
        <is>
          <t>10. &lt;https://www.nature.com/articles/s42256-019-0088-2&gt;</t>
        </is>
      </c>
      <c r="F31" s="5" t="inlineStr">
        <is>
          <t>https://www.nature.com/articles/s42256-019-0088-2</t>
        </is>
      </c>
      <c r="G31" s="5" t="inlineStr">
        <is>
          <t>The sheer scale and range of activity now underway is captured in this excellent recent overview from Nature by Effy Vayena and [colleagues](https://www.nature.com/articles/s42256-019-0088-2) at ETH. 1</t>
        </is>
      </c>
      <c r="H31" s="5" t="inlineStr">
        <is>
          <t>[reference] &lt;https://www.nature.com/articles/s42256-019-0088-2&gt;</t>
        </is>
      </c>
      <c r="I31" s="5" t="inlineStr">
        <is>
          <t>https://www.nature.com/articles/s42256-019-0088-2</t>
        </is>
      </c>
      <c r="J31" s="6" t="n"/>
      <c r="K31" s="6" t="n"/>
      <c r="L31" s="6" t="n"/>
      <c r="M31" s="5" t="inlineStr">
        <is>
          <t>a89911bb-c6b3-5738-ac08-bbcd8f7d8456</t>
        </is>
      </c>
      <c r="N31" s="5" t="inlineStr">
        <is>
          <t>c1eba0f9-21ab-5b21-ac74-10b4367684fa</t>
        </is>
      </c>
      <c r="O31" s="5" t="inlineStr">
        <is>
          <t>NIST-2021-0004-0028</t>
        </is>
      </c>
    </row>
    <row r="32">
      <c r="A32" s="5" t="n">
        <v>31</v>
      </c>
      <c r="B32" s="5" t="inlineStr">
        <is>
          <t>text_short_form</t>
        </is>
      </c>
      <c r="C32" s="5" t="n">
        <v>96</v>
      </c>
      <c r="D32" s="5" t="inlineStr"/>
      <c r="E32" s="5" t="inlineStr">
        <is>
          <t>Seyyed-Kalantari, Laleh, Haoran Zhang, Matthew B. McDermott, Irene Y. Chen, and Marzyeh Ghassemi. 2021. "Underdiagnosis bias of artificial intelligence algorithms applied to chest radiographs in under-served patient populations." *nature* 27, no. 2176-2182 (December). https://doi.org/10.1038/s41591-021-01595-0.</t>
        </is>
      </c>
      <c r="F32" s="5" t="inlineStr">
        <is>
          <t>https://doi.org/10.1038/s41591-021-01595-0.</t>
        </is>
      </c>
      <c r="G32" s="5" t="inlineStr">
        <is>
          <t>A 2021 study published in Nature Medicine demonstrated that AI systems for chest radiograph analysis exhibited significant "underdiagnosis bias" for historically underserved populations. The study demonstrated that chest radiograph AI systems exhibited 11.7% higher false negative rates for Black patients due to training data skewed towards Caucasian populations (68% of training cases vs. 12% national prevalence) (Seyyed-Kalantari et al. 2021, 3-27, Cho 2024).</t>
        </is>
      </c>
      <c r="H32" s="5" t="inlineStr">
        <is>
          <t>[reference] Seyyed-Kalantari et al. 2021, 3-27</t>
        </is>
      </c>
      <c r="I32" s="5" t="n"/>
      <c r="J32" s="6" t="n"/>
      <c r="K32" s="6" t="n"/>
      <c r="L32" s="6" t="n"/>
      <c r="M32" s="5" t="inlineStr">
        <is>
          <t>e81ddb15-6534-5a16-bcb8-7eda682b05d4</t>
        </is>
      </c>
      <c r="N32" s="5" t="inlineStr">
        <is>
          <t>a7ccab3e-db36-53f9-b025-dfb27aaf127b</t>
        </is>
      </c>
      <c r="O32" s="5" t="inlineStr">
        <is>
          <t>Leo-Zhang-AI-RFI-2025</t>
        </is>
      </c>
    </row>
    <row r="33">
      <c r="A33" s="5" t="n">
        <v>32</v>
      </c>
      <c r="B33" s="5" t="inlineStr">
        <is>
          <t>text_short_form</t>
        </is>
      </c>
      <c r="C33" s="5" t="n">
        <v>91.40000000000001</v>
      </c>
      <c r="D33" s="5" t="inlineStr"/>
      <c r="E33" s="5" t="inlineStr">
        <is>
          <t>US Privacy Act (1974)</t>
        </is>
      </c>
      <c r="F33" s="5" t="n"/>
      <c r="G33" s="5" t="inlineStr">
        <is>
          <t>This principle of transparency, foundational in most modern privacy law,21 is grounded in the right of the individual to know the basis of an adverse determination.</t>
        </is>
      </c>
      <c r="H33" s="5" t="inlineStr">
        <is>
          <t>[footnote] Fair Credit Reporting Act (1970), Privacy Act (1974).</t>
        </is>
      </c>
      <c r="I33" s="5" t="n"/>
      <c r="J33" s="6" t="n"/>
      <c r="K33" s="6" t="n"/>
      <c r="L33" s="6" t="n"/>
      <c r="M33" s="5" t="inlineStr">
        <is>
          <t>71ccf050-cdef-5751-93fa-f46d262e4c64</t>
        </is>
      </c>
      <c r="N33" s="5" t="inlineStr">
        <is>
          <t>b3d9a423-cfe0-5687-8212-6ffcd5440b26</t>
        </is>
      </c>
      <c r="O33" s="5" t="inlineStr">
        <is>
          <t>AI-RFI-Response-2018-Marc-Rotenberg-EPIC</t>
        </is>
      </c>
    </row>
    <row r="34">
      <c r="A34" s="5" t="n">
        <v>33</v>
      </c>
      <c r="B34" s="5" t="inlineStr">
        <is>
          <t>text_short_form</t>
        </is>
      </c>
      <c r="C34" s="5" t="n">
        <v>100</v>
      </c>
      <c r="D34" s="5" t="inlineStr"/>
      <c r="E34" s="5" t="inlineStr">
        <is>
          <t>Nativi S and De Nigris S (2021) AI Watch: AI Standardisation Landscape state of play and link to the EC proposal for an AI regulatory framework, EUR 30772 EN, Publications Office of the European Union, Luxembourg, 2021, ISBN 978-92-76-40325-8, doi:10.2760/376602, JRC125952</t>
        </is>
      </c>
      <c r="F34" s="5" t="n"/>
      <c r="G34" s="5" t="inlineStr">
        <is>
          <t>The European Commission issued a report in 2021 that outlines relevant standards from the IEEE, ISO, and other standards development organizations that support compliance with principles outlined in the EU AI Act, including standards for appropriate data governance; risk management; technical data and record keeping; transparency and accountability; human oversight; accuracy, robustness, and cybersecurity (Nativi and De Nigris 2021).</t>
        </is>
      </c>
      <c r="H34" s="5" t="inlineStr">
        <is>
          <t>[reference] Nativi and De Nigris 2021</t>
        </is>
      </c>
      <c r="I34" s="5" t="n"/>
      <c r="J34" s="6" t="n"/>
      <c r="K34" s="6" t="n"/>
      <c r="L34" s="6" t="n"/>
      <c r="M34" s="5" t="inlineStr">
        <is>
          <t>b633b1bc-f7b2-5fe0-9768-35d7f73ff290</t>
        </is>
      </c>
      <c r="N34" s="5" t="inlineStr">
        <is>
          <t>09decdd3-2b6d-5fdc-a0ac-81884ec4cdf7</t>
        </is>
      </c>
      <c r="O34" s="5" t="inlineStr">
        <is>
          <t>NIST-2021-0004-0123</t>
        </is>
      </c>
    </row>
    <row r="35">
      <c r="A35" s="5" t="n">
        <v>34</v>
      </c>
      <c r="B35" s="5" t="inlineStr">
        <is>
          <t>text_short_form</t>
        </is>
      </c>
      <c r="C35" s="5" t="n">
        <v>100</v>
      </c>
      <c r="D35" s="5" t="inlineStr"/>
      <c r="E35" s="5" t="inlineStr">
        <is>
          <t>Algorithmwatch.org (2020) AI Ethics Guidelines Global Inventory. Algorithmwatch.org, https://inventory.algorithmwatch.org/</t>
        </is>
      </c>
      <c r="F35" s="5" t="inlineStr">
        <is>
          <t>https://inventory.algorithmwatch.org/</t>
        </is>
      </c>
      <c r="G35" s="5" t="inlineStr">
        <is>
          <t>Over 170 sets of ethical AI guidelines have been developed (Algorithmwatch.org 2020).</t>
        </is>
      </c>
      <c r="H35" s="5" t="inlineStr">
        <is>
          <t>[reference] Algorithmwatch.org 2020</t>
        </is>
      </c>
      <c r="I35" s="5" t="n"/>
      <c r="J35" s="6" t="n"/>
      <c r="K35" s="6" t="n"/>
      <c r="L35" s="6" t="n"/>
      <c r="M35" s="5" t="inlineStr">
        <is>
          <t>a1e71c5a-ee40-537a-9cb2-124d4b154e10</t>
        </is>
      </c>
      <c r="N35" s="5" t="inlineStr">
        <is>
          <t>0b8baab4-620d-5dbe-8b48-84b94184f3df</t>
        </is>
      </c>
      <c r="O35" s="5" t="inlineStr">
        <is>
          <t>NIST-2021-0004-0123</t>
        </is>
      </c>
    </row>
    <row r="36">
      <c r="A36" s="5" t="n">
        <v>35</v>
      </c>
      <c r="B36" s="5" t="inlineStr">
        <is>
          <t>text_short_form</t>
        </is>
      </c>
      <c r="C36" s="5" t="n">
        <v>100</v>
      </c>
      <c r="D36" s="5" t="inlineStr"/>
      <c r="E36" s="5" t="inlineStr">
        <is>
          <t>Bedi, Jatin and Durga Toshniwal. 2019. 'Deep learning framework to forecast electricity demand.' Applied Energy 238 (March): 1312-1326. As of 26 January 2024: https://doi.org/10.1016/j.apenergy.2019.01.113.</t>
        </is>
      </c>
      <c r="F36" s="5" t="inlineStr">
        <is>
          <t>https://doi.org/10.1016/j.apenergy.2019.01.113.</t>
        </is>
      </c>
      <c r="G36" s="5" t="inlineStr">
        <is>
          <t>Demand forecast: AI can improve demand forecasting by analyzing historical power usage along-side factors such as weather patterns, economic activities, and consumer behaviors. This approach enhances the accuracy of predicting future power demand.13</t>
        </is>
      </c>
      <c r="H36" s="5" t="inlineStr">
        <is>
          <t>[footnote] Bedi and Toshniwal (2019).</t>
        </is>
      </c>
      <c r="I36" s="5" t="n"/>
      <c r="J36" s="6" t="n"/>
      <c r="K36" s="6" t="n"/>
      <c r="L36" s="6" t="n"/>
      <c r="M36" s="5" t="inlineStr">
        <is>
          <t>ab5a58b2-c46f-5e81-83ec-5df90fee8a3d</t>
        </is>
      </c>
      <c r="N36" s="5" t="inlineStr">
        <is>
          <t>bd3d760e-e1b1-5609-9101-7102df0925aa</t>
        </is>
      </c>
      <c r="O36" s="5" t="inlineStr">
        <is>
          <t>DOE-HQ-2024-0007-0006</t>
        </is>
      </c>
    </row>
    <row r="37">
      <c r="A37" s="5" t="n">
        <v>36</v>
      </c>
      <c r="B37" s="5" t="inlineStr">
        <is>
          <t>text_short_form</t>
        </is>
      </c>
      <c r="C37" s="5" t="n">
        <v>100</v>
      </c>
      <c r="D37" s="5" t="inlineStr"/>
      <c r="E37" s="5" t="inlineStr">
        <is>
          <t>OECD, Artificial Intelligence (2018)</t>
        </is>
      </c>
      <c r="F37" s="5" t="n"/>
      <c r="G37" s="5" t="inlineStr">
        <is>
          <t>In 2014, EPIC launched a campaign for "Algorithmic Transparency" and has subsequently worked with national and international organizations to improve accountability for AI systems. 3</t>
        </is>
      </c>
      <c r="H37" s="5" t="inlineStr">
        <is>
          <t>[footnote] EPIC, At OECD Global Forum, EPIC Urges "Algorithmic Transparency" (Oct. 3, 2014), https://epic.org/2014/10/atoecd-global-forum-epic-urge.html; EPIC, At UNESCO, EPIC's Rotenberg Argues for Algorithmic Transparency (Dec. 8, 2015), https://epic.org/2015/12/at-unesco-epics-rotenberg-argu.html; See generally Letter from EPIC to Senate Committee on the Commerce, Sci., and Trans. (Aug. 21, 2018), https://epic.org/testimony/congress/EPIC-SCOM-OSTPnominee-Aug2018.pdf; Letter from EPIC to House Comm. on Sci., Space, and Tech. (Jun. 25, 2018), https://epic.org/testimony/congress/EPIC-HSC-AI-June2018.pdf; EPIC, Algorithmic Transparency (2018), https://www.epic.org/algorithmic-transparency/; EPIC, Algorithms in the Criminal Justice System (2018), https://www.epic.org/algorithmic-transparency/crim-justice/; Comments of EPIC, Consumer Welfare Implications Associated with the Use of Algorithmic Decision Tools, Artificial Intelligence, and Predictive Analytics, Federal Trade Commission (Aug. 20, 2018), https://epic.org/apa/comments/EPIC-FTC-Algorithmic-Transparency-Aug-20-2018.pdf.</t>
        </is>
      </c>
      <c r="I37" s="5" t="inlineStr">
        <is>
          <t>https://epic.org/2014/10/atoecd-global-forum-epic-urge.html</t>
        </is>
      </c>
      <c r="J37" s="6" t="n"/>
      <c r="K37" s="6" t="n"/>
      <c r="L37" s="6" t="n"/>
      <c r="M37" s="5" t="inlineStr">
        <is>
          <t>3f0bd317-b1f0-5a1f-80ea-e5271b446979</t>
        </is>
      </c>
      <c r="N37" s="5" t="inlineStr">
        <is>
          <t>542d13ba-ce06-5153-a6da-99b51ef67e46</t>
        </is>
      </c>
      <c r="O37" s="5" t="inlineStr">
        <is>
          <t>AI-RFI-Response-2018-Marc-Rotenberg-EPIC</t>
        </is>
      </c>
    </row>
    <row r="38">
      <c r="A38" s="5" t="n">
        <v>37</v>
      </c>
      <c r="B38" s="5" t="inlineStr">
        <is>
          <t>text_short_form</t>
        </is>
      </c>
      <c r="C38" s="5" t="n">
        <v>100</v>
      </c>
      <c r="D38" s="5" t="inlineStr"/>
      <c r="E38" s="5" t="inlineStr">
        <is>
          <t>[12] Improving 5G Network Security. DARPA, February 2020, https://www.darpa.mil/news-</t>
        </is>
      </c>
      <c r="F38" s="5" t="inlineStr">
        <is>
          <t>https://www.darpa.mil/news-</t>
        </is>
      </c>
      <c r="G38" s="5" t="inlineStr">
        <is>
          <t>Securing 5G and other critical infrastructure software to run on untrusted hardware (note, DARPA is funding research in this area) [12]</t>
        </is>
      </c>
      <c r="H38" s="5" t="inlineStr">
        <is>
          <t>[reference] [12] Improving 5G Network Security. DARPA, February 2020, https://www.darpa.mil/news-events/2020-02-05.</t>
        </is>
      </c>
      <c r="I38" s="5" t="inlineStr">
        <is>
          <t>https://www.darpa.mil/news-events/2020-02-05.</t>
        </is>
      </c>
      <c r="J38" s="6" t="n"/>
      <c r="K38" s="6" t="n"/>
      <c r="L38" s="6" t="n"/>
      <c r="M38" s="5" t="inlineStr">
        <is>
          <t>82cc23d2-80b0-57fd-877f-49ae68e5a461</t>
        </is>
      </c>
      <c r="N38" s="5" t="inlineStr">
        <is>
          <t>ab65e905-f90d-5a29-943a-e745ccd6d0a7</t>
        </is>
      </c>
      <c r="O38" s="5" t="inlineStr">
        <is>
          <t>Duality-Technologies-PET-RFI-Response-2022</t>
        </is>
      </c>
    </row>
    <row r="39">
      <c r="A39" s="5" t="n">
        <v>38</v>
      </c>
      <c r="B39" s="5" t="inlineStr">
        <is>
          <t>text_short_form</t>
        </is>
      </c>
      <c r="C39" s="5" t="n">
        <v>100</v>
      </c>
      <c r="D39" s="5" t="inlineStr"/>
      <c r="E39" s="5" t="inlineStr">
        <is>
          <t>Oratz, Lisa T., and Dania Assas. 2024. "How the New Administration May Affect AI Policy on Intellectual Property and Deepfakes." Perkins Coie. https://perkinscoie.com/insights/update/how-new-administration-may-affect-ai-policy-int ellectual-property-and-deepfakes.</t>
        </is>
      </c>
      <c r="F39" s="5" t="inlineStr">
        <is>
          <t>https://perkinscoie.com/insights/update/how-new-administration-may-affect-ai-policy-int</t>
        </is>
      </c>
      <c r="G39" s="5" t="inlineStr">
        <is>
          <t>This regulatory misalignment could hinder collaboration and innovation between the U.S. and different countries, as companies faced increased complexity and costs in meeting diverse compliance standards (Oratz and Assas 2024, "Article 14: Human Oversight", n.d., Braun, Vallery, and Benizri 2024).</t>
        </is>
      </c>
      <c r="H39" s="5" t="inlineStr">
        <is>
          <t>[reference] Oratz and Assas 2024</t>
        </is>
      </c>
      <c r="I39" s="5" t="n"/>
      <c r="J39" s="6" t="n"/>
      <c r="K39" s="6" t="n"/>
      <c r="L39" s="6" t="n"/>
      <c r="M39" s="5" t="inlineStr">
        <is>
          <t>118ae6cd-2b12-591c-9aee-c347f4578ed0</t>
        </is>
      </c>
      <c r="N39" s="5" t="inlineStr">
        <is>
          <t>c1117b45-5262-5efb-9767-152899494f6b</t>
        </is>
      </c>
      <c r="O39" s="5" t="inlineStr">
        <is>
          <t>Leo-Zhang-AI-RFI-2025</t>
        </is>
      </c>
    </row>
    <row r="40">
      <c r="A40" s="5" t="n">
        <v>39</v>
      </c>
      <c r="B40" s="5" t="inlineStr">
        <is>
          <t>text_short_form</t>
        </is>
      </c>
      <c r="C40" s="5" t="n">
        <v>100</v>
      </c>
      <c r="D40" s="5" t="inlineStr"/>
      <c r="E40" s="5" t="inlineStr">
        <is>
          <t>Ceusters, W. and Smith, B., 2015, 'Aboutness: Towards foundations for the Information Artifact Ontology,' *Proceedings of the Sixth International Conference on Biomedical Ontology* (ICBO), Lisbon (CEUR 1515), 1-5.</t>
        </is>
      </c>
      <c r="F40" s="5" t="n"/>
      <c r="G40" s="5" t="inlineStr">
        <is>
          <t>In BFO terminology, the former are called GENERICALLY DEPENDENT CONTINUANT and the latter SPECIFICALLY DEPENDENT CONTINUANT (Ceusters and Smith, 2015).</t>
        </is>
      </c>
      <c r="H40" s="5" t="inlineStr">
        <is>
          <t>[reference] Ceusters and Smith, 2015</t>
        </is>
      </c>
      <c r="I40" s="5" t="n"/>
      <c r="J40" s="6" t="n"/>
      <c r="K40" s="6" t="n"/>
      <c r="L40" s="6" t="n"/>
      <c r="M40" s="5" t="inlineStr">
        <is>
          <t>25224208-9ae6-5dad-bd9b-ee135e5e13fa</t>
        </is>
      </c>
      <c r="N40" s="5" t="inlineStr">
        <is>
          <t>9c6cbaff-fee6-5134-a921-cbf4a1faeddf</t>
        </is>
      </c>
      <c r="O40" s="5" t="inlineStr">
        <is>
          <t>NIST-2019-0001-0029</t>
        </is>
      </c>
    </row>
    <row r="41">
      <c r="A41" s="5" t="n">
        <v>40</v>
      </c>
      <c r="B41" s="5" t="inlineStr">
        <is>
          <t>text_short_form</t>
        </is>
      </c>
      <c r="C41" s="5" t="n">
        <v>100</v>
      </c>
      <c r="D41" s="5" t="inlineStr"/>
      <c r="E41" s="5" t="inlineStr">
        <is>
          <t>Aldossary, L. A., M. Ali and A. Alasaadi. 2021. 'Securing SCADA Systems against Cyber-Attacks using Artificial Intelligence.' International Conference on Innovation and Intelligence for Informatics, Computing, and Technologies. As of 26 January 2024: doi: 10.1109/3ICT53449.2021.9581394.</t>
        </is>
      </c>
      <c r="F41" s="5" t="n"/>
      <c r="G41" s="5" t="inlineStr">
        <is>
          <t>On the defensive side, energy companies can use AI tools to monitor their networks for disturbances that may indicate a compromise.27</t>
        </is>
      </c>
      <c r="H41" s="5" t="inlineStr">
        <is>
          <t>[footnote] Aldossary and Alasaadi (2021).</t>
        </is>
      </c>
      <c r="I41" s="5" t="n"/>
      <c r="J41" s="6" t="n"/>
      <c r="K41" s="6" t="n"/>
      <c r="L41" s="6" t="n"/>
      <c r="M41" s="5" t="inlineStr">
        <is>
          <t>a7245802-8037-5a67-9abc-b7e1fff2f415</t>
        </is>
      </c>
      <c r="N41" s="5" t="inlineStr">
        <is>
          <t>212fa928-79b0-5c0d-8c26-8fb9ccd9db78</t>
        </is>
      </c>
      <c r="O41" s="5" t="inlineStr">
        <is>
          <t>DOE-HQ-2024-0007-0006</t>
        </is>
      </c>
    </row>
    <row r="42">
      <c r="A42" s="5" t="n">
        <v>41</v>
      </c>
      <c r="B42" s="5" t="inlineStr">
        <is>
          <t>text_short_form</t>
        </is>
      </c>
      <c r="C42" s="5" t="n">
        <v>100</v>
      </c>
      <c r="D42" s="5" t="inlineStr"/>
      <c r="E42" s="5" t="inlineStr">
        <is>
          <t>Engstrom, David Freeman, Daniel E. Ho, Catherine Sharkey, and Mariano-Florentino Cuéllar. 2020. *Government by Algorithm: Artificial Intelligence in Federal Administrative Agencies*. Administrative Conference of the United States.</t>
        </is>
      </c>
      <c r="F42" s="5" t="n"/>
      <c r="G42" s="5" t="inlineStr">
        <is>
          <t>Indeed, this is the essence of how the Administrative Procedure Act protects agency discretion for general statements of policy or rules of agency organizations, procedure, or practice (Engstrom and Ho 2020).</t>
        </is>
      </c>
      <c r="H42" s="5" t="inlineStr">
        <is>
          <t>[reference] Engstrom and Ho 2020</t>
        </is>
      </c>
      <c r="I42" s="5" t="n"/>
      <c r="J42" s="6" t="n"/>
      <c r="K42" s="6" t="n"/>
      <c r="L42" s="6" t="n"/>
      <c r="M42" s="5" t="inlineStr">
        <is>
          <t>b5c947fa-7c4b-5ab8-8308-e03da43cba1d</t>
        </is>
      </c>
      <c r="N42" s="5" t="inlineStr">
        <is>
          <t>14dd6ea0-67c5-5baf-9d9c-f9b793ad0287</t>
        </is>
      </c>
      <c r="O42" s="5" t="inlineStr">
        <is>
          <t>OMB-2023-0020-0029</t>
        </is>
      </c>
    </row>
    <row r="43">
      <c r="A43" s="5" t="n">
        <v>42</v>
      </c>
      <c r="B43" s="5" t="inlineStr">
        <is>
          <t>text_short_form</t>
        </is>
      </c>
      <c r="C43" s="5" t="n">
        <v>100</v>
      </c>
      <c r="D43" s="5" t="inlineStr"/>
      <c r="E43" s="5" t="inlineStr">
        <is>
          <t>Cody, Sara H., and Daniel E. Ho. 2022. *How to Build Academic-Public Health Partnerships: The Stanford - Santa Clara County Experience with COVID-19 Response*. Edited by Tamar Bauer. Brookings.</t>
        </is>
      </c>
      <c r="F43" s="5" t="n"/>
      <c r="G43" s="5" t="inlineStr">
        <is>
          <t>At the same time, we also believe that in addition to Presidential Innovation Fellows and the U.S. Digital Corps, academic-agency partnerships are particularly fruitful ways to build direct pathways from science to impact (Cody and Ho 2022; Maldonado et al. 2022; Engstrom et al. 2020).</t>
        </is>
      </c>
      <c r="H43" s="5" t="inlineStr">
        <is>
          <t>[reference] Cody and Ho 2022</t>
        </is>
      </c>
      <c r="I43" s="5" t="n"/>
      <c r="J43" s="6" t="n"/>
      <c r="K43" s="6" t="n"/>
      <c r="L43" s="6" t="n"/>
      <c r="M43" s="5" t="inlineStr">
        <is>
          <t>3224b621-7389-5ec9-a530-ed0e4f8557ee</t>
        </is>
      </c>
      <c r="N43" s="5" t="inlineStr">
        <is>
          <t>c86665c5-304c-56a0-a1b8-7efe4fa2af4d</t>
        </is>
      </c>
      <c r="O43" s="5" t="inlineStr">
        <is>
          <t>OMB-2023-0020-0029</t>
        </is>
      </c>
    </row>
    <row r="44">
      <c r="A44" s="5" t="n">
        <v>43</v>
      </c>
      <c r="B44" s="5" t="inlineStr">
        <is>
          <t>text_short_form</t>
        </is>
      </c>
      <c r="C44" s="5" t="n">
        <v>100</v>
      </c>
      <c r="D44" s="5" t="inlineStr"/>
      <c r="E44" s="5" t="inlineStr">
        <is>
          <t>Department of Justice. (July 16, 2015). Major Computer Hacking Forum dismantled. Office of Public Affairs | Major Computer Hacking Forum Dismantled | United States Department of Justice. https://www.justice.gov/opa/pr/major-computerhacking-forum-dismantled</t>
        </is>
      </c>
      <c r="F44" s="5" t="inlineStr">
        <is>
          <t>https://www.justice.gov/opa/pr/major-computerhacking-forum-dismantled</t>
        </is>
      </c>
      <c r="G44" s="5" t="inlineStr">
        <is>
          <t>For example, in 2015, the Department of Justice announced it had coordinated with 19 other countries to stop the actions of Darkode, an English-speaking computer hacking forum. Many of the Darkode members charged with cyber crimes were U.S. citizens, demonstrating that foreign customers of IaaS products are not the only threat to the United States.8</t>
        </is>
      </c>
      <c r="H44" s="5" t="inlineStr">
        <is>
          <t>[footnote] Department of Justice (2015).</t>
        </is>
      </c>
      <c r="I44" s="5" t="n"/>
      <c r="J44" s="6" t="n"/>
      <c r="K44" s="6" t="n"/>
      <c r="L44" s="6" t="n"/>
      <c r="M44" s="5" t="inlineStr">
        <is>
          <t>2dc54405-3753-54bd-a351-60fc6898e0e1</t>
        </is>
      </c>
      <c r="N44" s="5" t="inlineStr">
        <is>
          <t>5c95eaea-f6da-5404-8689-2a82a4a2cfee</t>
        </is>
      </c>
      <c r="O44" s="5" t="inlineStr">
        <is>
          <t>DOC-2021-0007-0394</t>
        </is>
      </c>
    </row>
    <row r="45">
      <c r="A45" s="5" t="n">
        <v>44</v>
      </c>
      <c r="B45" s="5" t="inlineStr">
        <is>
          <t>text_short_form</t>
        </is>
      </c>
      <c r="C45" s="5" t="n">
        <v>100</v>
      </c>
      <c r="D45" s="5" t="inlineStr"/>
      <c r="E45" s="5" t="inlineStr">
        <is>
          <t>- Executive Order 14141, 2025.</t>
        </is>
      </c>
      <c r="F45" s="5" t="n"/>
      <c r="G45" s="5" t="inlineStr">
        <is>
          <t>The Trump administration took additional steps to unlock domestic energy production in EO 14154: Unleashing American Energy.7</t>
        </is>
      </c>
      <c r="H45" s="5" t="inlineStr">
        <is>
          <t>[footnote] Executive Order 14141, 2025.</t>
        </is>
      </c>
      <c r="I45" s="5" t="n"/>
      <c r="J45" s="6" t="n"/>
      <c r="K45" s="6" t="n"/>
      <c r="L45" s="6" t="n"/>
      <c r="M45" s="5" t="inlineStr">
        <is>
          <t>bf1137c1-947d-5cdc-81a0-558c90c17ab0</t>
        </is>
      </c>
      <c r="N45" s="5" t="inlineStr">
        <is>
          <t>bb78e946-904f-57f1-822a-6d5d13f7b9cd</t>
        </is>
      </c>
      <c r="O45" s="5" t="inlineStr">
        <is>
          <t>YusufMahmood-AI-RFI-2025</t>
        </is>
      </c>
    </row>
    <row r="46">
      <c r="A46" s="5" t="n">
        <v>45</v>
      </c>
      <c r="B46" s="5" t="inlineStr">
        <is>
          <t>text_short_form</t>
        </is>
      </c>
      <c r="C46" s="5" t="n">
        <v>100</v>
      </c>
      <c r="D46" s="5" t="inlineStr"/>
      <c r="E46" s="5" t="inlineStr">
        <is>
          <t>Department of Commerce. Establishment of reporting requirements for the development of advanced artificial intelligence models and computing clusters. https: //www.federalregister.gov/documents/2024/09/11/2024-20529/ establishment-of-reporting-requirements-for-the-development-of-advanced-artificial-intelligence, 2024.</t>
        </is>
      </c>
      <c r="F46" s="5" t="n"/>
      <c r="G46" s="5" t="inlineStr">
        <is>
          <t>It also might permanently stall a potential policy (Department of Commerce, 2024) on model and compute reporting that the Department of Commerce proposed in response to the executive order.</t>
        </is>
      </c>
      <c r="H46" s="5" t="inlineStr">
        <is>
          <t>[reference] Department of Commerce, 2024</t>
        </is>
      </c>
      <c r="I46" s="5" t="n"/>
      <c r="J46" s="6" t="n"/>
      <c r="K46" s="6" t="n"/>
      <c r="L46" s="6" t="n"/>
      <c r="M46" s="5" t="inlineStr">
        <is>
          <t>9b51eafe-f77b-5b7f-beac-8cb162397cf1</t>
        </is>
      </c>
      <c r="N46" s="5" t="inlineStr">
        <is>
          <t>69da7949-416c-5f7a-9fa8-ed1b9fbca380</t>
        </is>
      </c>
      <c r="O46" s="5" t="inlineStr">
        <is>
          <t>Stephen-Casper-AI-RFI-2025</t>
        </is>
      </c>
    </row>
    <row r="47">
      <c r="A47" s="5" t="n">
        <v>46</v>
      </c>
      <c r="B47" s="5" t="inlineStr">
        <is>
          <t>text_full</t>
        </is>
      </c>
      <c r="C47" s="5" t="n">
        <v>100</v>
      </c>
      <c r="D47" s="5" t="inlineStr"/>
      <c r="E47" s="5" t="inlineStr">
        <is>
          <t>Patterson, David, Joseph Gonzalez, Quoc Le, Chen Liang, Lluis-Miquel Munguia, Daniel Rothchild, David So, Maud Texier, and Jeff Dean. 2021. "Carbon Emissions and Large Neural Network Training." arXiv - Computer Science.</t>
        </is>
      </c>
      <c r="F47" s="5" t="n"/>
      <c r="G47" s="5" t="inlineStr">
        <is>
          <t>Researchers from University of California-Berkeley and Google found that training just one model, GPT-3, took 1,287 gigawatt hours which is as much electricity as 120 U.S. homes use in a year, and generated 552 tons of carbon which is equivalent to emissions from 110 gas-powered cars on U.S. roads in a year.6</t>
        </is>
      </c>
      <c r="H47" s="5" t="inlineStr">
        <is>
          <t>[reference] Patterson, David, Joseph Gonzalez, Quoc Le, Chen Liang, Lluis-Miquel Munguia, Daniel Rothchild, David So, Maud Texier, and Jeff Dean. 2021. "Carbon Emissions and Large Neural Network Training." arXiv - Computer Science. https://arxiv.org/ftp/arxiv/papers/2104/2104.10350.pdf
[footnote] Patterson, David, Joseph Gonzalez, Quoc Le, Chen Liang, Lluis-Miquel Munguia, Daniel Rothchild, David So, Maud Texier, and Jeff Dean. 2021. "Carbon Emissions and Large Neural Network Training." arXiv - Computer Science. https://arxiv.org/ftp/arxiv/papers/2104/2104.10350.pdf</t>
        </is>
      </c>
      <c r="I47" s="5" t="inlineStr">
        <is>
          <t>https://arxiv.org/ftp/arxiv/papers/2104/2104.10350.pdf</t>
        </is>
      </c>
      <c r="J47" s="6" t="n"/>
      <c r="K47" s="6" t="n"/>
      <c r="L47" s="6" t="n"/>
      <c r="M47" s="5" t="inlineStr">
        <is>
          <t>61bab669-0dd8-5c15-8bad-9205cf12042b</t>
        </is>
      </c>
      <c r="N47" s="5" t="inlineStr">
        <is>
          <t>cca71cee-1a1e-5b22-afbd-a8a79f903231</t>
        </is>
      </c>
      <c r="O47" s="5" t="inlineStr">
        <is>
          <t>NIST-2023-0009-0082</t>
        </is>
      </c>
    </row>
    <row r="48">
      <c r="A48" s="5" t="n">
        <v>47</v>
      </c>
      <c r="B48" s="5" t="inlineStr">
        <is>
          <t>text_full</t>
        </is>
      </c>
      <c r="C48" s="5" t="n">
        <v>97</v>
      </c>
      <c r="D48" s="5" t="inlineStr"/>
      <c r="E48" s="5" t="inlineStr">
        <is>
          <t>- Pilz, Konstantin F., Yusuf Mahmood, and Lennart Heim, AI's Power Requirements Under Exponential Growth: Extrapolating AI Data Center Power Demand and Assessing Its Potential Impact on U.S. Competitiveness, RAND Corporation, RR-A3572-1, 2025. As of March 12, 2025: https://www.rand.org/pubs/research_reports/RRA3572-1.html.</t>
        </is>
      </c>
      <c r="F48" s="5" t="inlineStr">
        <is>
          <t>https://www.rand.org/pubs/research_reports/RRA3572-1.html.</t>
        </is>
      </c>
      <c r="G48" s="5" t="inlineStr">
        <is>
          <t>If growth in AI chip demand continues at the current rate, this need could rise to 68 gigawatts (GW) by 2027, nearly doubling global data center power needs from 2022.3</t>
        </is>
      </c>
      <c r="H48" s="5" t="inlineStr">
        <is>
          <t>[footnote] Konstantin F Pilz, Yusuf Mahmood, and Lennart Heim, AI's Power Requirements Under Exponential Growth: Extrapolating AI Data Center Power Demand and Assessing Its Potential Impact on U.S. Competitiveness, RAND Corporation, RR-A3572-1, 2025.</t>
        </is>
      </c>
      <c r="I48" s="5" t="n"/>
      <c r="J48" s="6" t="n"/>
      <c r="K48" s="6" t="n"/>
      <c r="L48" s="6" t="n"/>
      <c r="M48" s="5" t="inlineStr">
        <is>
          <t>4ec1bac5-9c33-55b3-911e-a3659414dd1a</t>
        </is>
      </c>
      <c r="N48" s="5" t="inlineStr">
        <is>
          <t>a3d4d9f1-e022-512a-87e1-f6212e9381d3</t>
        </is>
      </c>
      <c r="O48" s="5" t="inlineStr">
        <is>
          <t>YusufMahmood-AI-RFI-2025</t>
        </is>
      </c>
    </row>
    <row r="49">
      <c r="A49" s="5" t="n">
        <v>48</v>
      </c>
      <c r="B49" s="5" t="inlineStr">
        <is>
          <t>text_full</t>
        </is>
      </c>
      <c r="C49" s="5" t="n">
        <v>100</v>
      </c>
      <c r="D49" s="5" t="inlineStr"/>
      <c r="E49" s="5" t="inlineStr">
        <is>
          <t>"Dual-Use Foundation Models With Widely Available Model Weights Report." National Telecommunications and Information Administration, July 30, 2024. https://www.ntia.gov/programs-and-initiatives/artificial-intelligence/open-model-weightsreport/risks-benefits-of-dual-use-foundation-models-with-widely-available-modelweights/competition-innovation-research.</t>
        </is>
      </c>
      <c r="F49" s="5" t="inlineStr">
        <is>
          <t>https://www.ntia.gov/programs-and-initiatives/artificial-intelligence/open-model-weightsreport/risks-benefits-of-dual-use-foundation-models-with-widely-available-modelweights/competition-innovation-research.</t>
        </is>
      </c>
      <c r="G49" s="5" t="inlineStr">
        <is>
          <t>• According to the National Telecommunications and Information Administration (NTIA)'s Dual-Use Foundation Models With Widely Available Model Weight Report, "[o]pen models can help: (i) businesses across a range of industries integrate AI into their services and (ii) lower the barrier to entry for non-incumbents to innovate downstream AI applications."[17]</t>
        </is>
      </c>
      <c r="H49" s="5" t="inlineStr">
        <is>
          <t>[footnote] "Dual-Use Foundation Models With Widely Available Model Weights Report," National Telecommunications and Information Administration, July 30, 2024, https://www.ntia.gov/programs-and-initiatives/artificialintelligence/open-model-weights-report/risks-benefits-of-dual-use-foundation-models-with-widely-available-modelweights/competition-innovation-research.</t>
        </is>
      </c>
      <c r="I49" s="5" t="inlineStr">
        <is>
          <t>https://www.ntia.gov/programs-and-initiatives/artificialintelligence/open-model-weights-report/risks-benefits-of-dual-use-foundation-models-with-widely-available-modelweights/competition-innovation-research.</t>
        </is>
      </c>
      <c r="J49" s="6" t="n"/>
      <c r="K49" s="6" t="n"/>
      <c r="L49" s="6" t="n"/>
      <c r="M49" s="5" t="inlineStr">
        <is>
          <t>3e0084c5-0020-568b-b6f8-0881fc0ff45e</t>
        </is>
      </c>
      <c r="N49" s="5" t="inlineStr">
        <is>
          <t>9c91f523-4235-5f60-be89-3b0b6cd898a1</t>
        </is>
      </c>
      <c r="O49" s="5" t="inlineStr">
        <is>
          <t>FFS-AI-RFI-2025</t>
        </is>
      </c>
    </row>
    <row r="50">
      <c r="A50" s="5" t="n">
        <v>49</v>
      </c>
      <c r="B50" s="5" t="inlineStr">
        <is>
          <t>text_full</t>
        </is>
      </c>
      <c r="C50" s="5" t="n">
        <v>100</v>
      </c>
      <c r="D50" s="5" t="inlineStr"/>
      <c r="E50" s="5" t="inlineStr">
        <is>
          <t>- Public Law 109-58, Energy Policy Act; Section 1222, Third-Party Finance, August 8, 2005.</t>
        </is>
      </c>
      <c r="F50" s="5" t="n"/>
      <c r="G50" s="5" t="inlineStr">
        <is>
          <t>EO 14141 took some actions to this end, such as by requiring transmission providers to report locations with surplus capacity to connect new energy projects to the grid. Potential expansions to these policies include: (i) leveraging DOE's Section 1222 authority to facilitate construction of certain electric power transmission facilities, especially where state permitting processes may significantly delay necessary transmission projects; and (ii) tasking DOE to engage utilities serving AI infrastructure to accelerate their interconnection processes.42</t>
        </is>
      </c>
      <c r="H50" s="5" t="inlineStr">
        <is>
          <t>[footnote] Public Law 109-58, Energy Policy Act; Section 1222, Third-Party Finance, August 8, 2005.</t>
        </is>
      </c>
      <c r="I50" s="5" t="n"/>
      <c r="J50" s="6" t="n"/>
      <c r="K50" s="6" t="n"/>
      <c r="L50" s="6" t="n"/>
      <c r="M50" s="5" t="inlineStr">
        <is>
          <t>e3c43a18-7e5b-559f-94e6-c623ef9a257e</t>
        </is>
      </c>
      <c r="N50" s="5" t="inlineStr">
        <is>
          <t>eb6982b6-8464-50d8-954b-014b84823838</t>
        </is>
      </c>
      <c r="O50" s="5" t="inlineStr">
        <is>
          <t>YusufMahmood-AI-RFI-2025</t>
        </is>
      </c>
    </row>
    <row r="51">
      <c r="A51" s="5" t="n">
        <v>50</v>
      </c>
      <c r="B51" s="5" t="inlineStr">
        <is>
          <t>text_full</t>
        </is>
      </c>
      <c r="C51" s="5" t="n">
        <v>100</v>
      </c>
      <c r="D51" s="5" t="inlineStr"/>
      <c r="E51" s="5" t="inlineStr">
        <is>
          <t>Patterson, et. al. 2021. "Carbon Emissions and Large Neural Network Training." arXiv - Computer Science.</t>
        </is>
      </c>
      <c r="F51" s="5" t="n"/>
      <c r="G51" s="5" t="inlineStr">
        <is>
          <t>Google and University of California-Berkeley researchers found that using more efficient model architecture, equipment, and greener data centers could reduce the carbon footprint of an AI model by 100 to 1,000 times.14</t>
        </is>
      </c>
      <c r="H51" s="5" t="inlineStr">
        <is>
          <t>[reference] Patterson, et. al. 2021. "Carbon Emissions and Large Neural Network Training." arXiv - Computer Science. https://arxiv.org/ftp/arxiv/papers/2104/2104.10350.pdf
[footnote] Patterson, et. al. 2021. "Carbon Emissions and Large Neural Network Training." arXiv - Computer Science. https://arxiv.org/ftp/arxiv/papers/2104/2104.10350.pdf</t>
        </is>
      </c>
      <c r="I51" s="5" t="inlineStr">
        <is>
          <t>https://arxiv.org/ftp/arxiv/papers/2104/2104.10350.pdf</t>
        </is>
      </c>
      <c r="J51" s="6" t="n"/>
      <c r="K51" s="6" t="n"/>
      <c r="L51" s="6" t="n"/>
      <c r="M51" s="5" t="inlineStr">
        <is>
          <t>97504abe-7779-5be5-bdb2-e6848f6c8b7b</t>
        </is>
      </c>
      <c r="N51" s="5" t="inlineStr">
        <is>
          <t>06ed449b-f28c-5ecd-9fd1-5eb5006a8dc2</t>
        </is>
      </c>
      <c r="O51" s="5" t="inlineStr">
        <is>
          <t>NIST-2023-0009-0082</t>
        </is>
      </c>
    </row>
    <row r="52">
      <c r="A52" s="5" t="n">
        <v>51</v>
      </c>
      <c r="B52" s="5" t="inlineStr">
        <is>
          <t>text_full</t>
        </is>
      </c>
      <c r="C52" s="5" t="n">
        <v>92.7</v>
      </c>
      <c r="D52" s="5" t="inlineStr"/>
      <c r="E52" s="5" t="inlineStr">
        <is>
          <t>47. Survey of Explainable AI Techniques in Healthcare PMC, accessed March 13, 2025, https://pmc.ncbi.nlm.nih.gov/articles/PMC9862413/</t>
        </is>
      </c>
      <c r="F52" s="5" t="inlineStr">
        <is>
          <t>https://pmc.ncbi.nlm.nih.gov/articles/PMC9862413/</t>
        </is>
      </c>
      <c r="G52" s="5" t="inlineStr">
        <is>
          <t>Despite these hurdles, the benefits of XAI in healthcare are substantial [62].</t>
        </is>
      </c>
      <c r="H52" s="5" t="inlineStr">
        <is>
          <t>[reference] Survey of Explainable AI Techniques in Healthcare MDPI, accessed March 13, 2025, https://www.mdpi.com/1424-8220/23/2/634</t>
        </is>
      </c>
      <c r="I52" s="5" t="inlineStr">
        <is>
          <t>https://www.mdpi.com/1424-8220/23/2/634</t>
        </is>
      </c>
      <c r="J52" s="6" t="n"/>
      <c r="K52" s="6" t="n"/>
      <c r="L52" s="6" t="n"/>
      <c r="M52" s="5" t="inlineStr">
        <is>
          <t>bd04864a-0c3c-569e-b60e-386c36e37781</t>
        </is>
      </c>
      <c r="N52" s="5" t="inlineStr">
        <is>
          <t>32b0ab2e-e5fa-5d48-bb8f-1348e31b2f55</t>
        </is>
      </c>
      <c r="O52" s="5" t="inlineStr">
        <is>
          <t>AI-RFI-2025-1237</t>
        </is>
      </c>
    </row>
    <row r="53">
      <c r="A53" s="5" t="n">
        <v>52</v>
      </c>
      <c r="B53" s="5" t="inlineStr">
        <is>
          <t>text_full</t>
        </is>
      </c>
      <c r="C53" s="5" t="n">
        <v>100</v>
      </c>
      <c r="D53" s="5" t="inlineStr"/>
      <c r="E53" s="5" t="inlineStr">
        <is>
          <t>Mullin, Joe. "The TAKE IT DOWN Act: A Flawed Attempt to Protect Victims That Will Lead to Censorship." Electronic Frontier Foundation, February 11, 2025. https://www.eff.org/deeplinks/2025/02/take-it-down-act-flawed-attempt-protect-victimswill-lead-censorship.</t>
        </is>
      </c>
      <c r="F53" s="5" t="inlineStr">
        <is>
          <t>https://www.eff.org/deeplinks/2025/02/take-it-down-act-flawed-attempt-protect-victimswill-lead-censorship.</t>
        </is>
      </c>
      <c r="G53" s="5" t="inlineStr">
        <is>
          <t>Moreover, a statement by the Electronic Frontier Foundation contends that "TAKE IT DOWN contains none of those minimal speech protections and essentially greenlights misuse of its takedown regime."[4]</t>
        </is>
      </c>
      <c r="H53" s="5" t="inlineStr">
        <is>
          <t>[footnote] Joe Mullin, "The TAKE IT DOWN Act: A Flawed Attempt to Protect Victims That Will Lead to Censorship," Electronic Frontier Foundation, February 11, 2025, https://www.eff.org/deeplinks/2025/02/take-it-down-act-flawedattempt-protect-victims-will-lead-censorship.</t>
        </is>
      </c>
      <c r="I53" s="5" t="inlineStr">
        <is>
          <t>https://www.eff.org/deeplinks/2025/02/take-it-down-act-flawedattempt-protect-victims-will-lead-censorship.</t>
        </is>
      </c>
      <c r="J53" s="6" t="n"/>
      <c r="K53" s="6" t="n"/>
      <c r="L53" s="6" t="n"/>
      <c r="M53" s="5" t="inlineStr">
        <is>
          <t>b0d48c47-8a4d-58d2-b000-8f050530c66d</t>
        </is>
      </c>
      <c r="N53" s="5" t="inlineStr">
        <is>
          <t>7da92bd1-ffcf-5d31-b3c3-5a4f3f291d12</t>
        </is>
      </c>
      <c r="O53" s="5" t="inlineStr">
        <is>
          <t>FFS-AI-RFI-2025</t>
        </is>
      </c>
    </row>
    <row r="54">
      <c r="A54" s="5" t="n">
        <v>53</v>
      </c>
      <c r="B54" s="5" t="inlineStr">
        <is>
          <t>text_full</t>
        </is>
      </c>
      <c r="C54" s="5" t="n">
        <v>92.59999999999999</v>
      </c>
      <c r="D54" s="5" t="inlineStr"/>
      <c r="E54" s="5" t="inlineStr">
        <is>
          <t>21 C. W. Coley, N. S. Eyke, Klavs F. Jensenz, "Autonomous discovery in the chemical sciences part II: Outlook," arXiv:2003.13754v1, Mar. 30, 2020.</t>
        </is>
      </c>
      <c r="F54" s="5" t="n"/>
      <c r="G54" s="5" t="inlineStr">
        <is>
          <t>This is critical in applications like materials science, where the design and discovery of new molecules is faced with a chemical space that is uncountably vast.20, 21</t>
        </is>
      </c>
      <c r="H54" s="5" t="inlineStr">
        <is>
          <t>[reference] C. W. Coley, N. S. Eyke, Klavs F. Jensenz, "Autonomous discovery in the chemical sciences part I: Progress," arXiv:2003.13754v1, Mar. 30, 2020.</t>
        </is>
      </c>
      <c r="I54" s="5" t="n"/>
      <c r="J54" s="6" t="n"/>
      <c r="K54" s="6" t="n"/>
      <c r="L54" s="6" t="n"/>
      <c r="M54" s="5" t="inlineStr">
        <is>
          <t>caa2e768-0ea4-52a6-b92a-92c2a801cb47</t>
        </is>
      </c>
      <c r="N54" s="5" t="inlineStr">
        <is>
          <t>cbbc14cb-3161-5bf7-a408-01a664dbb12d</t>
        </is>
      </c>
      <c r="O54" s="5" t="inlineStr">
        <is>
          <t>NIST-2021-0007-0020</t>
        </is>
      </c>
    </row>
    <row r="55">
      <c r="A55" s="5" t="n">
        <v>54</v>
      </c>
      <c r="B55" s="5" t="inlineStr">
        <is>
          <t>text_full</t>
        </is>
      </c>
      <c r="C55" s="5" t="n">
        <v>100</v>
      </c>
      <c r="D55" s="5" t="inlineStr"/>
      <c r="E55" s="5" t="inlineStr">
        <is>
          <t>European Union, 2023. "EU AI Act." The Artificial Intelligence Act, July 28, 2023. [https://artificialintelligenceact.eu/.](https://artificialintelligenceact.eu/)</t>
        </is>
      </c>
      <c r="F55" s="5" t="inlineStr">
        <is>
          <t>https://artificialintelligenceact.eu/.</t>
        </is>
      </c>
      <c r="G55" s="5" t="inlineStr">
        <is>
          <t>There seems to still be ambiguity with regards to competent authorities present in this regulatory process apart from the Union itself, for verifying compliance (EU AI Act).</t>
        </is>
      </c>
      <c r="H55" s="5" t="inlineStr">
        <is>
          <t>[reference] European Union, 2023. "EU AI Act." The Artificial Intelligence Act, July 28, 2023. https://artificialintelligenceact.eu/.</t>
        </is>
      </c>
      <c r="I55" s="5" t="inlineStr">
        <is>
          <t>https://artificialintelligenceact.eu/.</t>
        </is>
      </c>
      <c r="J55" s="6" t="n"/>
      <c r="K55" s="6" t="n"/>
      <c r="L55" s="6" t="n"/>
      <c r="M55" s="5" t="inlineStr">
        <is>
          <t>2ddb0592-9268-56a8-8383-6fe037ef6895</t>
        </is>
      </c>
      <c r="N55" s="5" t="inlineStr">
        <is>
          <t>6d58f315-72fd-5222-9bfa-8442289c417e</t>
        </is>
      </c>
      <c r="O55" s="5" t="inlineStr">
        <is>
          <t>OMB-2023-0020-0141</t>
        </is>
      </c>
    </row>
    <row r="56">
      <c r="A56" s="5" t="n">
        <v>55</v>
      </c>
      <c r="B56" s="5" t="inlineStr">
        <is>
          <t>text_full</t>
        </is>
      </c>
      <c r="C56" s="5" t="n">
        <v>98.40000000000001</v>
      </c>
      <c r="D56" s="5" t="inlineStr"/>
      <c r="E56" s="5" t="inlineStr">
        <is>
          <t>Association for Computing Machinery, U.S. Public Policy Counsel, Statement on Algorithmic Transparency and Accountability (Jan. 2017)</t>
        </is>
      </c>
      <c r="F56" s="5" t="inlineStr">
        <is>
          <t>https://www.acm.org/articles/bulletins/2017/january/usacm-statement-algorithmic-accountability</t>
        </is>
      </c>
      <c r="G56" s="5" t="inlineStr">
        <is>
          <t>The validation and testing of AI systems requires rigorous methods to validate models and routine performance of assessments to ensure the outcomes do not generate discriminatory harm.23</t>
        </is>
      </c>
      <c r="H56" s="5" t="inlineStr">
        <is>
          <t>[footnote] Association for Computing Machinery, U.S. Public Policy Council, Statement on Algorithmic Transparency and Accountability (2017) -- https://www.acm.org/binaries/content/assets/public-policy/2017_usacm_statement_algorithms.pdf</t>
        </is>
      </c>
      <c r="I56" s="5" t="inlineStr">
        <is>
          <t>https://www.acm.org/binaries/content/assets/public-policy/2017_usacm_statement_algorithms.pdf</t>
        </is>
      </c>
      <c r="J56" s="6" t="n"/>
      <c r="K56" s="6" t="n"/>
      <c r="L56" s="6" t="n"/>
      <c r="M56" s="5" t="inlineStr">
        <is>
          <t>4fe317bb-9ac4-5b98-b3c7-16c6ad7c5cd9</t>
        </is>
      </c>
      <c r="N56" s="5" t="inlineStr">
        <is>
          <t>a158b2b9-93d3-5c7c-8838-a340cb890a83</t>
        </is>
      </c>
      <c r="O56" s="5" t="inlineStr">
        <is>
          <t>AI-RFI-Response-2018-Marc-Rotenberg-EPIC</t>
        </is>
      </c>
    </row>
    <row r="57">
      <c r="A57" s="5" t="n">
        <v>56</v>
      </c>
      <c r="B57" s="5" t="inlineStr">
        <is>
          <t>text_full</t>
        </is>
      </c>
      <c r="C57" s="5" t="n">
        <v>99.09999999999999</v>
      </c>
      <c r="D57" s="5" t="inlineStr"/>
      <c r="E57" s="5" t="inlineStr">
        <is>
          <t>*2. Obermeyer et al., Dissecting racial bias in an algorithm used to manage the health of populations, Science 366, 447–453 (2019)*</t>
        </is>
      </c>
      <c r="F57" s="5" t="n"/>
      <c r="G57" s="5" t="inlineStr">
        <is>
          <t>• Recommendation: CHI recommends a more significant focus on the potential for coded biases within AI/ML systems to exacerbate disparities in representation and access to clinical research, particularly for underserved communities. 2, 3</t>
        </is>
      </c>
      <c r="H57" s="5" t="inlineStr">
        <is>
          <t>[footnote] Obermeyer et al., Dissecting racial bias in an algorithm used to manage the health of populations, Science 366, 447-453 (2019)</t>
        </is>
      </c>
      <c r="I57" s="5" t="n"/>
      <c r="J57" s="6" t="n"/>
      <c r="K57" s="6" t="n"/>
      <c r="L57" s="6" t="n"/>
      <c r="M57" s="5" t="inlineStr">
        <is>
          <t>a6950a32-555c-5735-b986-a3672d2f51f6</t>
        </is>
      </c>
      <c r="N57" s="5" t="inlineStr">
        <is>
          <t>ece3f0c0-772b-52c3-b31e-5f5fc85a00c7</t>
        </is>
      </c>
      <c r="O57" s="5" t="inlineStr">
        <is>
          <t>FDA-2023-N-0743-0046</t>
        </is>
      </c>
    </row>
    <row r="58">
      <c r="A58" s="5" t="n">
        <v>57</v>
      </c>
      <c r="B58" s="5" t="inlineStr">
        <is>
          <t>text_full</t>
        </is>
      </c>
      <c r="C58" s="5" t="n">
        <v>100</v>
      </c>
      <c r="D58" s="5" t="inlineStr"/>
      <c r="E58" s="5" t="inlineStr">
        <is>
          <t>─ Bloomfield, R., Khlaaf, H., Ryan Conmy, P., and Fletcher, G., "Disruptive Innovations and Disruptive Assurance: Assuring Machine Learning and Autonomy". Computer, vol. 52, no. 9, pp. 82-89, Sept. 2019, doi: 10.1109/MC.2019.2914775.</t>
        </is>
      </c>
      <c r="F58" s="5" t="n"/>
      <c r="G58" s="5" t="inlineStr">
        <is>
          <t>structure arguments about the safety of engineered systems in safety-critical domains1, as discussed further in our responses to Questions 9, 20, and 30.</t>
        </is>
      </c>
      <c r="H58" s="5" t="inlineStr">
        <is>
          <t>[footnote] Bloomfield, R., Khlaaf, H., Ryan Conmy, P., and Fletcher, G., "Disruptive Innovations and Disruptive Assurance: Assuring Machine Learning and Autonomy". Computer, vol. 52, no. 9, pp. 82-89, Sept. 2019, doi: 10.1109/MC.2019.2914775.</t>
        </is>
      </c>
      <c r="I58" s="5" t="n"/>
      <c r="J58" s="6" t="n"/>
      <c r="K58" s="6" t="n"/>
      <c r="L58" s="6" t="n"/>
      <c r="M58" s="5" t="inlineStr">
        <is>
          <t>67950abe-4975-5d6d-b6c7-d1acfaf66e07</t>
        </is>
      </c>
      <c r="N58" s="5" t="inlineStr">
        <is>
          <t>765e511e-30b7-580b-af8c-38696d48f03d</t>
        </is>
      </c>
      <c r="O58" s="5" t="inlineStr">
        <is>
          <t>NTIA-2023-0005-1049</t>
        </is>
      </c>
    </row>
    <row r="59">
      <c r="A59" s="5" t="n">
        <v>58</v>
      </c>
      <c r="B59" s="5" t="inlineStr">
        <is>
          <t>text_full</t>
        </is>
      </c>
      <c r="C59" s="5" t="n">
        <v>93.59999999999999</v>
      </c>
      <c r="D59" s="5" t="inlineStr"/>
      <c r="E59" s="5" t="inlineStr">
        <is>
          <t>10. Global Privacy Control — Take Control Of Your Privacy, https://globalprivacycontrol.org/. Accessed 7 July 2022.</t>
        </is>
      </c>
      <c r="F59" s="5" t="inlineStr">
        <is>
          <t>https://globalprivacycontrol.org/.</t>
        </is>
      </c>
      <c r="G59" s="5" t="inlineStr">
        <is>
          <t>Global Privacy Control (GPC) [10] is a signal that allows users to notify websites and businesses of their privacy preferences when it comes to selling or sharing data.</t>
        </is>
      </c>
      <c r="H59" s="5" t="inlineStr">
        <is>
          <t>[reference] Global Privacy Control - Take Control Of Your Privacy, https://globalprivacycontrol.org/.</t>
        </is>
      </c>
      <c r="I59" s="5" t="inlineStr">
        <is>
          <t>https://globalprivacycontrol.org/.</t>
        </is>
      </c>
      <c r="J59" s="6" t="n"/>
      <c r="K59" s="6" t="n"/>
      <c r="L59" s="6" t="n"/>
      <c r="M59" s="5" t="inlineStr">
        <is>
          <t>d5ad1ee2-5038-58fd-a3ed-146dad2d1145</t>
        </is>
      </c>
      <c r="N59" s="5" t="inlineStr">
        <is>
          <t>654085de-2a0f-5ac5-a7f6-94a760bb7bdc</t>
        </is>
      </c>
      <c r="O59" s="5" t="inlineStr">
        <is>
          <t>Brave-Software-PET-RFI-Response-2022</t>
        </is>
      </c>
    </row>
    <row r="60">
      <c r="A60" s="5" t="n">
        <v>59</v>
      </c>
      <c r="B60" s="5" t="inlineStr">
        <is>
          <t>text_full</t>
        </is>
      </c>
      <c r="C60" s="5" t="n">
        <v>100</v>
      </c>
      <c r="D60" s="5" t="inlineStr"/>
      <c r="E60" s="5" t="inlineStr">
        <is>
          <t>1. Nong P and Platt J. Patient's trust in health systems to use artificial intelligence. JAMA Network Open. 2025;8(2):e2460628.</t>
        </is>
      </c>
      <c r="F60" s="5" t="n"/>
      <c r="G60" s="5" t="inlineStr">
        <is>
          <t>Our nationally representative survey on perceptions of AI in healthcare shows that privacy concerns reduce trust and perceived health benefits from AI tools.1</t>
        </is>
      </c>
      <c r="H60" s="5" t="inlineStr">
        <is>
          <t>[footnote] Nong P and Platt J. Patient's trust in health systems to use artificial intelligence. JAMA Network Open. 2025;8(2):e2460628.</t>
        </is>
      </c>
      <c r="I60" s="5" t="n"/>
      <c r="J60" s="6" t="n"/>
      <c r="K60" s="6" t="n"/>
      <c r="L60" s="6" t="n"/>
      <c r="M60" s="5" t="inlineStr">
        <is>
          <t>833e993c-a86a-5e36-9968-814dbcb3b610</t>
        </is>
      </c>
      <c r="N60" s="5" t="inlineStr">
        <is>
          <t>ddd84074-63b9-5afa-8484-998eac74097a</t>
        </is>
      </c>
      <c r="O60" s="5" t="inlineStr">
        <is>
          <t>TIERRA-AI-RFI-2025</t>
        </is>
      </c>
    </row>
    <row r="61">
      <c r="A61" s="5" t="n">
        <v>60</v>
      </c>
      <c r="B61" s="5" t="inlineStr">
        <is>
          <t>text_full</t>
        </is>
      </c>
      <c r="C61" s="5" t="n">
        <v>97.59999999999999</v>
      </c>
      <c r="D61" s="5" t="inlineStr"/>
      <c r="E61" s="5" t="inlineStr">
        <is>
          <t>2. Business Insider. (2025). China Makes AI Education Mandatory for Elementary Schoolers in Beijing Classrooms. Available Here</t>
        </is>
      </c>
      <c r="F61" s="5" t="n"/>
      <c r="G61" s="5" t="inlineStr">
        <is>
          <t>a) China's AI curriculum aims to equip students with foundational AI literacy, integrating subjects like Machine Learning and Robotics into primary education. Developing AI literacy from an early age will strengthen China's long-term AI workforce pipeline.2</t>
        </is>
      </c>
      <c r="H61" s="5" t="inlineStr">
        <is>
          <t>[footnote] Business Insider. (2025). China Makes AI Education Mandatory for Elementary Schoolers in Beijing Classrooms.</t>
        </is>
      </c>
      <c r="I61" s="5" t="inlineStr">
        <is>
          <t>https://www.businessinsider.com/china-beijing-ai-education-mandatory-classrooms-elementary-schoolers-2025-3</t>
        </is>
      </c>
      <c r="J61" s="6" t="n"/>
      <c r="K61" s="6" t="n"/>
      <c r="L61" s="6" t="n"/>
      <c r="M61" s="5" t="inlineStr">
        <is>
          <t>50e4c2f5-4e36-5491-b5cc-b23baf994c72</t>
        </is>
      </c>
      <c r="N61" s="5" t="inlineStr">
        <is>
          <t>ca1e38c1-531a-5981-a6d1-4de6647f0111</t>
        </is>
      </c>
      <c r="O61" s="5" t="inlineStr">
        <is>
          <t>SuperThinks-AI-RFI-2025</t>
        </is>
      </c>
    </row>
  </sheetData>
  <autoFilter ref="A1:O61"/>
  <dataValidations count="2">
    <dataValidation sqref="J2:J61" showDropDown="0" showInputMessage="0" showErrorMessage="0" allowBlank="1" type="list">
      <formula1>"Y,N,Unsure"</formula1>
    </dataValidation>
    <dataValidation sqref="K2:K61" showDropDown="0" showInputMessage="0" showErrorMessage="0" allowBlank="1" type="list">
      <formula1>"Y,N,NA"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7" t="inlineStr">
        <is>
          <t>stratum</t>
        </is>
      </c>
      <c r="B1" s="7" t="inlineStr">
        <is>
          <t>pool</t>
        </is>
      </c>
      <c r="C1" s="7" t="inlineStr">
        <is>
          <t>n</t>
        </is>
      </c>
      <c r="D1" s="7" t="inlineStr">
        <is>
          <t>labelled</t>
        </is>
      </c>
      <c r="E1" s="7" t="inlineStr">
        <is>
          <t>same_work Y rate</t>
        </is>
      </c>
      <c r="F1" s="7" t="inlineStr">
        <is>
          <t>pairing_ok Y rate</t>
        </is>
      </c>
    </row>
    <row r="2">
      <c r="A2" s="2" t="inlineStr">
        <is>
          <t>url_full_ref</t>
        </is>
      </c>
      <c r="B2" t="n">
        <v>427</v>
      </c>
      <c r="C2">
        <f>COUNTIF(Validation!$B$2:$B$61,$A2)</f>
        <v/>
      </c>
      <c r="D2">
        <f>COUNTIFS(Validation!$B$2:$B$61,$A2,Validation!$J$2:$J$61,"&lt;&gt;")</f>
        <v/>
      </c>
      <c r="E2" s="8">
        <f>IFERROR(COUNTIFS(Validation!$B$2:$B$61,$A2,Validation!$J$2:$J$61,"Y")/(COUNTIFS(Validation!$B$2:$B$61,$A2,Validation!$J$2:$J$61,"&lt;&gt;")-COUNTIFS(Validation!$B$2:$B$61,$A2,Validation!$J$2:$J$61,"Unsure")),"")</f>
        <v/>
      </c>
      <c r="F2" s="8">
        <f>IFERROR(COUNTIFS(Validation!$B$2:$B$61,$A2,Validation!$K$2:$K$61,"Y")/(COUNTIFS(Validation!$B$2:$B$61,$A2,Validation!$K$2:$K$61,"&lt;&gt;")-COUNTIFS(Validation!$B$2:$B$61,$A2,Validation!$K$2:$K$61,"NA")),"")</f>
        <v/>
      </c>
    </row>
    <row r="3">
      <c r="A3" s="2" t="inlineStr">
        <is>
          <t>url_bare</t>
        </is>
      </c>
      <c r="B3" t="n">
        <v>66</v>
      </c>
      <c r="C3">
        <f>COUNTIF(Validation!$B$2:$B$61,$A3)</f>
        <v/>
      </c>
      <c r="D3">
        <f>COUNTIFS(Validation!$B$2:$B$61,$A3,Validation!$J$2:$J$61,"&lt;&gt;")</f>
        <v/>
      </c>
      <c r="E3" s="8">
        <f>IFERROR(COUNTIFS(Validation!$B$2:$B$61,$A3,Validation!$J$2:$J$61,"Y")/(COUNTIFS(Validation!$B$2:$B$61,$A3,Validation!$J$2:$J$61,"&lt;&gt;")-COUNTIFS(Validation!$B$2:$B$61,$A3,Validation!$J$2:$J$61,"Unsure")),"")</f>
        <v/>
      </c>
      <c r="F3" s="8">
        <f>IFERROR(COUNTIFS(Validation!$B$2:$B$61,$A3,Validation!$K$2:$K$61,"Y")/(COUNTIFS(Validation!$B$2:$B$61,$A3,Validation!$K$2:$K$61,"&lt;&gt;")-COUNTIFS(Validation!$B$2:$B$61,$A3,Validation!$K$2:$K$61,"NA")),"")</f>
        <v/>
      </c>
    </row>
    <row r="4">
      <c r="A4" s="2" t="inlineStr">
        <is>
          <t>text_short_form</t>
        </is>
      </c>
      <c r="B4" t="n">
        <v>32</v>
      </c>
      <c r="C4">
        <f>COUNTIF(Validation!$B$2:$B$61,$A4)</f>
        <v/>
      </c>
      <c r="D4">
        <f>COUNTIFS(Validation!$B$2:$B$61,$A4,Validation!$J$2:$J$61,"&lt;&gt;")</f>
        <v/>
      </c>
      <c r="E4" s="8">
        <f>IFERROR(COUNTIFS(Validation!$B$2:$B$61,$A4,Validation!$J$2:$J$61,"Y")/(COUNTIFS(Validation!$B$2:$B$61,$A4,Validation!$J$2:$J$61,"&lt;&gt;")-COUNTIFS(Validation!$B$2:$B$61,$A4,Validation!$J$2:$J$61,"Unsure")),"")</f>
        <v/>
      </c>
      <c r="F4" s="8">
        <f>IFERROR(COUNTIFS(Validation!$B$2:$B$61,$A4,Validation!$K$2:$K$61,"Y")/(COUNTIFS(Validation!$B$2:$B$61,$A4,Validation!$K$2:$K$61,"&lt;&gt;")-COUNTIFS(Validation!$B$2:$B$61,$A4,Validation!$K$2:$K$61,"NA")),"")</f>
        <v/>
      </c>
    </row>
    <row r="5">
      <c r="A5" s="2" t="inlineStr">
        <is>
          <t>text_full</t>
        </is>
      </c>
      <c r="B5" t="n">
        <v>52</v>
      </c>
      <c r="C5">
        <f>COUNTIF(Validation!$B$2:$B$61,$A5)</f>
        <v/>
      </c>
      <c r="D5">
        <f>COUNTIFS(Validation!$B$2:$B$61,$A5,Validation!$J$2:$J$61,"&lt;&gt;")</f>
        <v/>
      </c>
      <c r="E5" s="8">
        <f>IFERROR(COUNTIFS(Validation!$B$2:$B$61,$A5,Validation!$J$2:$J$61,"Y")/(COUNTIFS(Validation!$B$2:$B$61,$A5,Validation!$J$2:$J$61,"&lt;&gt;")-COUNTIFS(Validation!$B$2:$B$61,$A5,Validation!$J$2:$J$61,"Unsure")),"")</f>
        <v/>
      </c>
      <c r="F5" s="8">
        <f>IFERROR(COUNTIFS(Validation!$B$2:$B$61,$A5,Validation!$K$2:$K$61,"Y")/(COUNTIFS(Validation!$B$2:$B$61,$A5,Validation!$K$2:$K$61,"&lt;&gt;")-COUNTIFS(Validation!$B$2:$B$61,$A5,Validation!$K$2:$K$61,"NA")),"")</f>
        <v/>
      </c>
    </row>
    <row r="6">
      <c r="A6" s="1" t="inlineStr">
        <is>
          <t>ALL</t>
        </is>
      </c>
      <c r="B6" t="n">
        <v>577</v>
      </c>
      <c r="C6">
        <f>COUNTIF(Validation!$B$2:$B$61,"*")</f>
        <v/>
      </c>
      <c r="D6">
        <f>COUNTIFS(Validation!$B$2:$B$61,"*",Validation!$J$2:$J$61,"&lt;&gt;")</f>
        <v/>
      </c>
      <c r="E6" s="8">
        <f>IFERROR(COUNTIFS(Validation!$B$2:$B$61,"*",Validation!$J$2:$J$61,"Y")/(COUNTIFS(Validation!$B$2:$B$61,"*",Validation!$J$2:$J$61,"&lt;&gt;")-COUNTIFS(Validation!$B$2:$B$61,"*",Validation!$J$2:$J$61,"Unsure")),"")</f>
        <v/>
      </c>
      <c r="F6" s="8">
        <f>IFERROR(COUNTIFS(Validation!$B$2:$B$61,"*",Validation!$K$2:$K$61,"Y")/(COUNTIFS(Validation!$B$2:$B$61,"*",Validation!$K$2:$K$61,"&lt;&gt;")-COUNTIFS(Validation!$B$2:$B$61,"*",Validation!$K$2:$K$61,"NA")),"")</f>
        <v/>
      </c>
    </row>
    <row r="8">
      <c r="A8" s="9" t="inlineStr">
        <is>
          <t>Rates exclude blank labels and Unsure / NA. ALL is an unweighted sample rate; weight by pool for the population estimate.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2026-10-15T20:04:47Z</dcterms:created>
  <dcterms:modified xsi:type="dcterms:W3CDTF">2026-10-15T20:04:47Z</dcterms:modified>
</cp:coreProperties>
</file>